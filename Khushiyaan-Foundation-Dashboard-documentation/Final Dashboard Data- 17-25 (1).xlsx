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5" activeTab="7"/>
  </bookViews>
  <sheets>
    <sheet name="Dadar" sheetId="4" r:id="rId1"/>
    <sheet name="Cuff Parade" sheetId="6" r:id="rId2"/>
    <sheet name="Chimbai Beach, Bandra" sheetId="7" r:id="rId3"/>
    <sheet name="Worli Fort, Worli" sheetId="8" r:id="rId4"/>
    <sheet name="Madh, Malad" sheetId="11" r:id="rId5"/>
    <sheet name="Erangal, Malad" sheetId="9" r:id="rId6"/>
    <sheet name="Gorai, Bhayander" sheetId="12" r:id="rId7"/>
    <sheet name="Prabhadevi Beach" sheetId="10" r:id="rId8"/>
    <sheet name="Silver Beach" sheetId="13" r:id="rId9"/>
    <sheet name="Juhu Koliwada, Juhu" sheetId="5" r:id="rId10"/>
    <sheet name="Sheet1" sheetId="14" r:id="rId11"/>
    <sheet name="Sheet2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<sst xmlns="http://schemas.openxmlformats.org/spreadsheetml/2006/main" count="331" uniqueCount="95">
  <si>
    <t>Beach Name</t>
  </si>
  <si>
    <t>Beach Clean Up</t>
  </si>
  <si>
    <t>Waste Management</t>
  </si>
  <si>
    <t>Community Awareness</t>
  </si>
  <si>
    <t>Awareness in Residential Socities</t>
  </si>
  <si>
    <t>Awareness in Educational Institutions</t>
  </si>
  <si>
    <t>Overall Awareness Impact</t>
  </si>
  <si>
    <t>Dadar Beach (Behind Kirti College)</t>
  </si>
  <si>
    <t>Number of Beach Clean Ups</t>
  </si>
  <si>
    <t>Total Number of Participants</t>
  </si>
  <si>
    <t>Number of Beach Warrior Volunteers</t>
  </si>
  <si>
    <t xml:space="preserve">Number of Student Participants </t>
  </si>
  <si>
    <t>Number of Community Participants</t>
  </si>
  <si>
    <t>Number of RWA Participants</t>
  </si>
  <si>
    <t>Number of Government Representatives</t>
  </si>
  <si>
    <t>Number Local group volunteers</t>
  </si>
  <si>
    <t>Number of Academic Institutions participated</t>
  </si>
  <si>
    <t>Number of Residential Societies participated</t>
  </si>
  <si>
    <t>Quantity of Marine Debris Collected (Kgs)</t>
  </si>
  <si>
    <t>Quantity of Plastic (KGS)- Mix Plastic (Polythene, MLP, PVC, LDTP)</t>
  </si>
  <si>
    <t>Quantity of Cloth (KGS)</t>
  </si>
  <si>
    <t>Quantity of Wood, Shoes, Bags and other materials (KGS)</t>
  </si>
  <si>
    <t>Number of Plastic Bottles</t>
  </si>
  <si>
    <t>Number of Nurdles</t>
  </si>
  <si>
    <t>Total Number of  Community Sessions</t>
  </si>
  <si>
    <t>Total  Participants of Volunteers</t>
  </si>
  <si>
    <t>Total Number of Communities Reached</t>
  </si>
  <si>
    <t>Total Number of Households Reached</t>
  </si>
  <si>
    <t>Total Number of Community People Reached</t>
  </si>
  <si>
    <t xml:space="preserve">Total Number of Residential Society Sessions </t>
  </si>
  <si>
    <t xml:space="preserve">Total Number of Societies Reached </t>
  </si>
  <si>
    <t xml:space="preserve">Total Number of Households Reached in Scoieties </t>
  </si>
  <si>
    <t>Total Number of People reached</t>
  </si>
  <si>
    <t>Total Number of Sessions in Schools</t>
  </si>
  <si>
    <t>Total Numbers of Schools Reached</t>
  </si>
  <si>
    <t>Total Number of School Students Participants</t>
  </si>
  <si>
    <t>Total Number of Teacher / Management  Participants</t>
  </si>
  <si>
    <t>Total Number of Sessions in Colleges</t>
  </si>
  <si>
    <t>Total Numbers of Colleges Reached</t>
  </si>
  <si>
    <t>Total Number of College Students Participants</t>
  </si>
  <si>
    <t>Total Number of Sessions</t>
  </si>
  <si>
    <t>Total people / students Reached</t>
  </si>
  <si>
    <t>Total Number of Academic Institutions</t>
  </si>
  <si>
    <t>Total Number of Entries</t>
  </si>
  <si>
    <t>Total Number of Households</t>
  </si>
  <si>
    <t xml:space="preserve">Total Number of Societies </t>
  </si>
  <si>
    <t>Total  Number of Schools</t>
  </si>
  <si>
    <t>Total Number of School Students</t>
  </si>
  <si>
    <t>Total  Number of Colleges</t>
  </si>
  <si>
    <t>Total Number of College Students</t>
  </si>
  <si>
    <t>Total  Number of Participants</t>
  </si>
  <si>
    <t>Total Number of Commitment to Sustainable Living</t>
  </si>
  <si>
    <t>17-18</t>
  </si>
  <si>
    <t>18-19</t>
  </si>
  <si>
    <t>19-20</t>
  </si>
  <si>
    <t>20-21</t>
  </si>
  <si>
    <t>21-22</t>
  </si>
  <si>
    <t>22-23</t>
  </si>
  <si>
    <t>23-24</t>
  </si>
  <si>
    <t>189</t>
  </si>
  <si>
    <t>24-25</t>
  </si>
  <si>
    <t>24-25 (Legrand)</t>
  </si>
  <si>
    <t>0</t>
  </si>
  <si>
    <t>Total</t>
  </si>
  <si>
    <t>Cuff Parade- Machimarnagar Beach</t>
  </si>
  <si>
    <t>Number of Academic Institutions</t>
  </si>
  <si>
    <t>Number of Residential Societies</t>
  </si>
  <si>
    <t xml:space="preserve"> 19-20</t>
  </si>
  <si>
    <t>Chimbai Beach, Bandra</t>
  </si>
  <si>
    <t>Worli Fort, Worli</t>
  </si>
  <si>
    <t>Madh, Malad</t>
  </si>
  <si>
    <t>18 -19</t>
  </si>
  <si>
    <t xml:space="preserve">19-20 </t>
  </si>
  <si>
    <t>Erangal, Malad</t>
  </si>
  <si>
    <t>Quantity of Plastic (KGS)- Mix Plastic (Polythene, MLP, PVC, LDP)</t>
  </si>
  <si>
    <t>Gorai Beach</t>
  </si>
  <si>
    <t xml:space="preserve">19 -20 </t>
  </si>
  <si>
    <t>Prabhadevi</t>
  </si>
  <si>
    <t>client</t>
  </si>
  <si>
    <t>22- 23</t>
  </si>
  <si>
    <t>hcl</t>
  </si>
  <si>
    <t>23- 24</t>
  </si>
  <si>
    <t>24- 25</t>
  </si>
  <si>
    <t xml:space="preserve">  </t>
  </si>
  <si>
    <t xml:space="preserve">Silver </t>
  </si>
  <si>
    <t>Juhu Koliwada, Juhu</t>
  </si>
  <si>
    <t xml:space="preserve">18-19 </t>
  </si>
  <si>
    <t>khf</t>
  </si>
  <si>
    <t>Zero Plastic Model (Waste Picker Project)</t>
  </si>
  <si>
    <t>Juhu Koliwada</t>
  </si>
  <si>
    <t>Days</t>
  </si>
  <si>
    <t>Only Plastic Collected (LDP,MLP,HM,PP)</t>
  </si>
  <si>
    <t>5139 kgs</t>
  </si>
  <si>
    <t>Dadar Beach</t>
  </si>
  <si>
    <t>Social Media Reach- 11 Million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</si>
</sst>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 &quot;* #,##0&quot; &quot;;&quot; &quot;* \(#,##0\);&quot; &quot;* &quot;-&quot;??&quot; &quot;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theme="1"/>
      <name val="Times New Roman"/>
      <charset val="134"/>
    </font>
    <font>
      <b/>
      <sz val="10"/>
      <color theme="1"/>
      <name val="Arial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799981688894314"/>
        <bgColor rgb="FF95B3D7"/>
      </patternFill>
    </fill>
    <fill>
      <patternFill patternType="solid">
        <fgColor theme="9" tint="0.799981688894314"/>
        <bgColor rgb="FFB8CCE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4" borderId="1" xfId="0" applyFont="1" applyFill="1" applyBorder="1" applyAlignment="1">
      <alignment vertical="center"/>
    </xf>
    <xf numFmtId="49" fontId="3" fillId="5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0" fontId="2" fillId="0" borderId="1" xfId="0" applyFont="1" applyBorder="1"/>
    <xf numFmtId="180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4" fillId="4" borderId="1" xfId="0" applyFont="1" applyFill="1" applyBorder="1"/>
    <xf numFmtId="0" fontId="3" fillId="4" borderId="1" xfId="0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6" fillId="0" borderId="1" xfId="0" applyFont="1" applyBorder="1"/>
    <xf numFmtId="180" fontId="3" fillId="0" borderId="1" xfId="0" applyNumberFormat="1" applyFont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 applyProtection="1">
      <alignment horizontal="center"/>
      <protection locked="0"/>
    </xf>
    <xf numFmtId="49" fontId="3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5"/>
  <sheetViews>
    <sheetView zoomScale="66" zoomScaleNormal="66" workbookViewId="0">
      <selection activeCell="D11" sqref="D3:D11"/>
    </sheetView>
  </sheetViews>
  <sheetFormatPr defaultColWidth="9" defaultRowHeight="15.6"/>
  <cols>
    <col min="1" max="1" width="36" style="51" customWidth="1"/>
    <col min="2" max="2" width="15.9074074074074" style="51" customWidth="1"/>
    <col min="3" max="3" width="10.0925925925926" style="51" customWidth="1"/>
    <col min="4" max="11" width="8.72222222222222" style="51"/>
    <col min="12" max="15" width="10.5462962962963" style="51" customWidth="1"/>
    <col min="16" max="16384" width="8.72222222222222" style="51"/>
  </cols>
  <sheetData>
    <row r="1" ht="15.5" customHeight="1" spans="1:49">
      <c r="A1" s="24" t="s">
        <v>0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7" t="s">
        <v>2</v>
      </c>
      <c r="M1" s="17"/>
      <c r="N1" s="17"/>
      <c r="O1" s="17"/>
      <c r="P1" s="17"/>
      <c r="Q1" s="17"/>
      <c r="R1" s="17" t="s">
        <v>3</v>
      </c>
      <c r="S1" s="17"/>
      <c r="T1" s="17"/>
      <c r="U1" s="17"/>
      <c r="V1" s="17"/>
      <c r="W1" s="17" t="s">
        <v>4</v>
      </c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 t="s">
        <v>5</v>
      </c>
      <c r="AM1" s="17"/>
      <c r="AN1" s="17"/>
      <c r="AO1" s="17"/>
      <c r="AP1" s="17"/>
      <c r="AQ1" s="17"/>
      <c r="AR1" s="17"/>
      <c r="AS1" s="17"/>
      <c r="AT1" s="17" t="s">
        <v>6</v>
      </c>
      <c r="AU1" s="17"/>
      <c r="AV1" s="17"/>
      <c r="AW1" s="17"/>
    </row>
    <row r="2" ht="140.4" spans="1:49">
      <c r="A2" s="38" t="s">
        <v>7</v>
      </c>
      <c r="B2" s="17" t="s">
        <v>8</v>
      </c>
      <c r="C2" s="17" t="s">
        <v>9</v>
      </c>
      <c r="D2" s="17" t="s">
        <v>10</v>
      </c>
      <c r="E2" s="17" t="s">
        <v>11</v>
      </c>
      <c r="F2" s="17" t="s">
        <v>12</v>
      </c>
      <c r="G2" s="17" t="s">
        <v>13</v>
      </c>
      <c r="H2" s="17" t="s">
        <v>14</v>
      </c>
      <c r="I2" s="17" t="s">
        <v>15</v>
      </c>
      <c r="J2" s="17" t="s">
        <v>16</v>
      </c>
      <c r="K2" s="17" t="s">
        <v>17</v>
      </c>
      <c r="L2" s="17" t="s">
        <v>18</v>
      </c>
      <c r="M2" s="17" t="s">
        <v>19</v>
      </c>
      <c r="N2" s="17" t="s">
        <v>20</v>
      </c>
      <c r="O2" s="17" t="s">
        <v>21</v>
      </c>
      <c r="P2" s="17" t="s">
        <v>22</v>
      </c>
      <c r="Q2" s="17" t="s">
        <v>23</v>
      </c>
      <c r="R2" s="17" t="s">
        <v>24</v>
      </c>
      <c r="S2" s="17" t="s">
        <v>25</v>
      </c>
      <c r="T2" s="17" t="s">
        <v>26</v>
      </c>
      <c r="U2" s="17" t="s">
        <v>27</v>
      </c>
      <c r="V2" s="17" t="s">
        <v>28</v>
      </c>
      <c r="W2" s="17" t="s">
        <v>29</v>
      </c>
      <c r="X2" s="17" t="s">
        <v>25</v>
      </c>
      <c r="Y2" s="17" t="s">
        <v>30</v>
      </c>
      <c r="Z2" s="17" t="s">
        <v>31</v>
      </c>
      <c r="AA2" s="17" t="s">
        <v>32</v>
      </c>
      <c r="AB2" s="17" t="s">
        <v>33</v>
      </c>
      <c r="AC2" s="17" t="s">
        <v>34</v>
      </c>
      <c r="AD2" s="17" t="s">
        <v>35</v>
      </c>
      <c r="AE2" s="17" t="s">
        <v>36</v>
      </c>
      <c r="AF2" s="17" t="s">
        <v>37</v>
      </c>
      <c r="AG2" s="17" t="s">
        <v>38</v>
      </c>
      <c r="AH2" s="17" t="s">
        <v>39</v>
      </c>
      <c r="AI2" s="17" t="s">
        <v>36</v>
      </c>
      <c r="AJ2" s="17" t="s">
        <v>40</v>
      </c>
      <c r="AK2" s="17" t="s">
        <v>25</v>
      </c>
      <c r="AL2" s="17" t="s">
        <v>41</v>
      </c>
      <c r="AM2" s="17" t="s">
        <v>42</v>
      </c>
      <c r="AN2" s="17" t="s">
        <v>9</v>
      </c>
      <c r="AO2" s="17" t="s">
        <v>43</v>
      </c>
      <c r="AP2" s="17" t="s">
        <v>44</v>
      </c>
      <c r="AQ2" s="17" t="s">
        <v>45</v>
      </c>
      <c r="AR2" s="17" t="s">
        <v>46</v>
      </c>
      <c r="AS2" s="17" t="s">
        <v>47</v>
      </c>
      <c r="AT2" s="17" t="s">
        <v>48</v>
      </c>
      <c r="AU2" s="17" t="s">
        <v>49</v>
      </c>
      <c r="AV2" s="17" t="s">
        <v>50</v>
      </c>
      <c r="AW2" s="17" t="s">
        <v>51</v>
      </c>
    </row>
    <row r="3" spans="1:49">
      <c r="A3" s="25" t="s">
        <v>52</v>
      </c>
      <c r="B3" s="27">
        <v>49</v>
      </c>
      <c r="C3" s="25">
        <f>SUM(D3:I3)</f>
        <v>9466</v>
      </c>
      <c r="D3" s="27">
        <v>189</v>
      </c>
      <c r="E3" s="27">
        <v>4389</v>
      </c>
      <c r="F3" s="27">
        <v>2302</v>
      </c>
      <c r="G3" s="27">
        <v>324</v>
      </c>
      <c r="H3" s="25">
        <v>162</v>
      </c>
      <c r="I3" s="27">
        <v>2100</v>
      </c>
      <c r="J3" s="25">
        <v>7</v>
      </c>
      <c r="K3" s="25">
        <v>4</v>
      </c>
      <c r="L3" s="25">
        <v>14184</v>
      </c>
      <c r="M3" s="54">
        <f>L3*65%</f>
        <v>9219.6</v>
      </c>
      <c r="N3" s="54">
        <f>L3*15%</f>
        <v>2127.6</v>
      </c>
      <c r="O3" s="55">
        <f>L3*20%</f>
        <v>2836.8</v>
      </c>
      <c r="P3" s="25">
        <v>169</v>
      </c>
      <c r="Q3" s="25">
        <v>117</v>
      </c>
      <c r="R3" s="27">
        <v>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0</v>
      </c>
      <c r="AI3" s="27">
        <v>0</v>
      </c>
      <c r="AJ3" s="27">
        <v>0</v>
      </c>
      <c r="AK3" s="27">
        <v>0</v>
      </c>
      <c r="AL3" s="27">
        <v>0</v>
      </c>
      <c r="AM3" s="27">
        <v>0</v>
      </c>
      <c r="AN3" s="27">
        <v>0</v>
      </c>
      <c r="AO3" s="27">
        <v>0</v>
      </c>
      <c r="AP3" s="27">
        <v>0</v>
      </c>
      <c r="AQ3" s="27">
        <v>0</v>
      </c>
      <c r="AR3" s="27">
        <v>0</v>
      </c>
      <c r="AS3" s="27">
        <v>0</v>
      </c>
      <c r="AT3" s="27">
        <v>0</v>
      </c>
      <c r="AU3" s="27">
        <v>0</v>
      </c>
      <c r="AV3" s="27">
        <v>0</v>
      </c>
      <c r="AW3" s="27">
        <v>0</v>
      </c>
    </row>
    <row r="4" spans="1:49">
      <c r="A4" s="25" t="s">
        <v>53</v>
      </c>
      <c r="B4" s="52">
        <v>72</v>
      </c>
      <c r="C4" s="52">
        <f t="shared" ref="C4:C10" si="0">SUM(D4:I4)</f>
        <v>15012</v>
      </c>
      <c r="D4" s="52">
        <v>362</v>
      </c>
      <c r="E4" s="52">
        <v>8342</v>
      </c>
      <c r="F4" s="52">
        <v>2301</v>
      </c>
      <c r="G4" s="52">
        <v>983</v>
      </c>
      <c r="H4" s="52">
        <v>231</v>
      </c>
      <c r="I4" s="52">
        <v>2793</v>
      </c>
      <c r="J4" s="52">
        <v>8</v>
      </c>
      <c r="K4" s="52">
        <v>9</v>
      </c>
      <c r="L4" s="52">
        <v>25730</v>
      </c>
      <c r="M4" s="54">
        <f t="shared" ref="M4:M11" si="1">L4*65%</f>
        <v>16724.5</v>
      </c>
      <c r="N4" s="54">
        <f t="shared" ref="N4:N11" si="2">L4*15%</f>
        <v>3859.5</v>
      </c>
      <c r="O4" s="55">
        <f t="shared" ref="O4:O11" si="3">L4*20%</f>
        <v>5146</v>
      </c>
      <c r="P4" s="52">
        <v>314</v>
      </c>
      <c r="Q4" s="52">
        <v>257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7">
        <v>0</v>
      </c>
      <c r="AQ4" s="27">
        <v>0</v>
      </c>
      <c r="AR4" s="27">
        <v>0</v>
      </c>
      <c r="AS4" s="27">
        <v>0</v>
      </c>
      <c r="AT4" s="27">
        <v>0</v>
      </c>
      <c r="AU4" s="27">
        <v>0</v>
      </c>
      <c r="AV4" s="27">
        <v>0</v>
      </c>
      <c r="AW4" s="27">
        <v>0</v>
      </c>
    </row>
    <row r="5" spans="1:49">
      <c r="A5" s="52" t="s">
        <v>54</v>
      </c>
      <c r="B5" s="27">
        <v>76</v>
      </c>
      <c r="C5" s="25">
        <f t="shared" si="0"/>
        <v>15822</v>
      </c>
      <c r="D5" s="27">
        <v>492</v>
      </c>
      <c r="E5" s="27">
        <v>8932</v>
      </c>
      <c r="F5" s="27">
        <v>2732</v>
      </c>
      <c r="G5" s="25">
        <v>480</v>
      </c>
      <c r="H5" s="25">
        <v>255</v>
      </c>
      <c r="I5" s="27">
        <v>2931</v>
      </c>
      <c r="J5" s="25">
        <v>17</v>
      </c>
      <c r="K5" s="25">
        <v>18</v>
      </c>
      <c r="L5" s="25">
        <v>38230</v>
      </c>
      <c r="M5" s="54">
        <f t="shared" si="1"/>
        <v>24849.5</v>
      </c>
      <c r="N5" s="54">
        <f t="shared" si="2"/>
        <v>5734.5</v>
      </c>
      <c r="O5" s="55">
        <f t="shared" si="3"/>
        <v>7646</v>
      </c>
      <c r="P5" s="25">
        <v>552</v>
      </c>
      <c r="Q5" s="25">
        <v>120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0</v>
      </c>
      <c r="AO5" s="27">
        <v>0</v>
      </c>
      <c r="AP5" s="27">
        <v>0</v>
      </c>
      <c r="AQ5" s="27">
        <v>0</v>
      </c>
      <c r="AR5" s="27">
        <v>0</v>
      </c>
      <c r="AS5" s="27">
        <v>0</v>
      </c>
      <c r="AT5" s="27">
        <v>0</v>
      </c>
      <c r="AU5" s="27">
        <v>0</v>
      </c>
      <c r="AV5" s="27">
        <v>0</v>
      </c>
      <c r="AW5" s="27">
        <v>0</v>
      </c>
    </row>
    <row r="6" spans="1:49">
      <c r="A6" s="25" t="s">
        <v>55</v>
      </c>
      <c r="B6" s="25">
        <v>60</v>
      </c>
      <c r="C6" s="25">
        <f t="shared" si="0"/>
        <v>7452</v>
      </c>
      <c r="D6" s="25">
        <v>45</v>
      </c>
      <c r="E6" s="27">
        <v>3843</v>
      </c>
      <c r="F6" s="27">
        <v>1021</v>
      </c>
      <c r="G6" s="27">
        <v>892</v>
      </c>
      <c r="H6" s="27">
        <v>322</v>
      </c>
      <c r="I6" s="27">
        <v>1329</v>
      </c>
      <c r="J6" s="25">
        <v>6</v>
      </c>
      <c r="K6" s="25">
        <v>12</v>
      </c>
      <c r="L6" s="25">
        <v>260000</v>
      </c>
      <c r="M6" s="54">
        <f t="shared" si="1"/>
        <v>169000</v>
      </c>
      <c r="N6" s="54">
        <f t="shared" si="2"/>
        <v>39000</v>
      </c>
      <c r="O6" s="55">
        <f t="shared" si="3"/>
        <v>52000</v>
      </c>
      <c r="P6" s="25">
        <v>32</v>
      </c>
      <c r="Q6" s="25">
        <v>37</v>
      </c>
      <c r="R6" s="27">
        <v>2</v>
      </c>
      <c r="S6" s="25">
        <v>65</v>
      </c>
      <c r="T6" s="27">
        <v>2</v>
      </c>
      <c r="U6" s="25">
        <v>405</v>
      </c>
      <c r="V6" s="25">
        <v>1620</v>
      </c>
      <c r="W6" s="25">
        <v>4</v>
      </c>
      <c r="X6" s="25">
        <v>100</v>
      </c>
      <c r="Y6" s="25">
        <v>4</v>
      </c>
      <c r="Z6" s="25">
        <v>395</v>
      </c>
      <c r="AA6" s="25">
        <v>1580</v>
      </c>
      <c r="AB6" s="27">
        <v>0</v>
      </c>
      <c r="AC6" s="27">
        <v>0</v>
      </c>
      <c r="AD6" s="27">
        <v>0</v>
      </c>
      <c r="AE6" s="27">
        <v>0</v>
      </c>
      <c r="AF6" s="25">
        <v>11</v>
      </c>
      <c r="AG6" s="25">
        <v>11</v>
      </c>
      <c r="AH6" s="25">
        <v>614</v>
      </c>
      <c r="AI6" s="25">
        <v>43</v>
      </c>
      <c r="AJ6" s="27">
        <v>12</v>
      </c>
      <c r="AK6" s="27">
        <v>120</v>
      </c>
      <c r="AL6" s="27">
        <v>1350</v>
      </c>
      <c r="AM6" s="25">
        <v>8</v>
      </c>
      <c r="AN6" s="25">
        <v>108</v>
      </c>
      <c r="AO6" s="25">
        <v>95</v>
      </c>
      <c r="AP6" s="25">
        <v>75</v>
      </c>
      <c r="AQ6" s="25">
        <v>8</v>
      </c>
      <c r="AR6" s="25">
        <v>2</v>
      </c>
      <c r="AS6" s="25">
        <v>48</v>
      </c>
      <c r="AT6" s="25">
        <v>2</v>
      </c>
      <c r="AU6" s="25">
        <v>245</v>
      </c>
      <c r="AV6" s="25">
        <v>245</v>
      </c>
      <c r="AW6" s="25">
        <v>245</v>
      </c>
    </row>
    <row r="7" ht="16.35" spans="1:60">
      <c r="A7" s="25" t="s">
        <v>56</v>
      </c>
      <c r="B7" s="25">
        <v>52</v>
      </c>
      <c r="C7" s="25">
        <f t="shared" si="0"/>
        <v>5437</v>
      </c>
      <c r="D7" s="25">
        <v>528</v>
      </c>
      <c r="E7" s="25">
        <v>2753</v>
      </c>
      <c r="F7" s="25">
        <v>594</v>
      </c>
      <c r="G7" s="25">
        <v>450</v>
      </c>
      <c r="H7" s="25">
        <v>224</v>
      </c>
      <c r="I7" s="25">
        <v>888</v>
      </c>
      <c r="J7" s="25">
        <v>12</v>
      </c>
      <c r="K7" s="25">
        <v>16</v>
      </c>
      <c r="L7" s="25">
        <v>282800</v>
      </c>
      <c r="M7" s="54">
        <f t="shared" si="1"/>
        <v>183820</v>
      </c>
      <c r="N7" s="54">
        <f t="shared" si="2"/>
        <v>42420</v>
      </c>
      <c r="O7" s="55">
        <f t="shared" si="3"/>
        <v>56560</v>
      </c>
      <c r="P7" s="25">
        <v>446</v>
      </c>
      <c r="Q7" s="25">
        <v>106</v>
      </c>
      <c r="R7" s="25">
        <v>11</v>
      </c>
      <c r="S7" s="27">
        <v>185</v>
      </c>
      <c r="T7" s="25">
        <v>16</v>
      </c>
      <c r="U7" s="25">
        <v>1565</v>
      </c>
      <c r="V7" s="25">
        <v>6260</v>
      </c>
      <c r="W7" s="25">
        <v>10</v>
      </c>
      <c r="X7" s="25">
        <v>104</v>
      </c>
      <c r="Y7" s="25">
        <v>21</v>
      </c>
      <c r="Z7" s="25">
        <v>830</v>
      </c>
      <c r="AA7" s="25">
        <v>3320</v>
      </c>
      <c r="AB7" s="27">
        <v>0</v>
      </c>
      <c r="AC7" s="27">
        <v>0</v>
      </c>
      <c r="AD7" s="27">
        <v>0</v>
      </c>
      <c r="AE7" s="27">
        <v>0</v>
      </c>
      <c r="AF7" s="25">
        <v>11</v>
      </c>
      <c r="AG7" s="25">
        <v>11</v>
      </c>
      <c r="AH7" s="25">
        <v>614</v>
      </c>
      <c r="AI7" s="25">
        <v>43</v>
      </c>
      <c r="AJ7" s="27">
        <v>12</v>
      </c>
      <c r="AK7" s="27">
        <v>120</v>
      </c>
      <c r="AL7" s="27">
        <v>1230</v>
      </c>
      <c r="AM7" s="25">
        <v>8</v>
      </c>
      <c r="AN7" s="25">
        <v>108</v>
      </c>
      <c r="AO7" s="25">
        <v>95</v>
      </c>
      <c r="AP7" s="25">
        <v>75</v>
      </c>
      <c r="AQ7" s="25">
        <v>8</v>
      </c>
      <c r="AR7" s="25">
        <v>2</v>
      </c>
      <c r="AS7" s="25">
        <v>48</v>
      </c>
      <c r="AT7" s="25">
        <v>2</v>
      </c>
      <c r="AU7" s="25">
        <v>245</v>
      </c>
      <c r="AV7" s="25">
        <v>245</v>
      </c>
      <c r="AW7" s="25">
        <v>245</v>
      </c>
      <c r="BH7" s="57">
        <v>4</v>
      </c>
    </row>
    <row r="8" spans="1:49">
      <c r="A8" s="25" t="s">
        <v>57</v>
      </c>
      <c r="B8" s="25">
        <v>57</v>
      </c>
      <c r="C8" s="25">
        <f t="shared" si="0"/>
        <v>7060</v>
      </c>
      <c r="D8" s="25">
        <v>57</v>
      </c>
      <c r="E8" s="25">
        <v>5302</v>
      </c>
      <c r="F8" s="25">
        <v>269</v>
      </c>
      <c r="G8" s="25">
        <v>286</v>
      </c>
      <c r="H8" s="25">
        <v>283</v>
      </c>
      <c r="I8" s="25">
        <v>863</v>
      </c>
      <c r="J8" s="25">
        <v>29</v>
      </c>
      <c r="K8" s="25">
        <v>13</v>
      </c>
      <c r="L8" s="25">
        <v>205100</v>
      </c>
      <c r="M8" s="54">
        <f t="shared" si="1"/>
        <v>133315</v>
      </c>
      <c r="N8" s="54">
        <f t="shared" si="2"/>
        <v>30765</v>
      </c>
      <c r="O8" s="55">
        <f t="shared" si="3"/>
        <v>41020</v>
      </c>
      <c r="P8" s="25">
        <v>231</v>
      </c>
      <c r="Q8" s="25">
        <v>438</v>
      </c>
      <c r="R8" s="27">
        <v>21</v>
      </c>
      <c r="S8" s="25">
        <v>368</v>
      </c>
      <c r="T8" s="25">
        <v>10</v>
      </c>
      <c r="U8" s="25">
        <v>3997</v>
      </c>
      <c r="V8" s="25">
        <v>15988</v>
      </c>
      <c r="W8" s="27">
        <v>37</v>
      </c>
      <c r="X8" s="25">
        <v>286</v>
      </c>
      <c r="Y8" s="25">
        <v>12</v>
      </c>
      <c r="Z8" s="25">
        <v>2944</v>
      </c>
      <c r="AA8" s="25">
        <v>11776</v>
      </c>
      <c r="AB8" s="25">
        <v>6</v>
      </c>
      <c r="AC8" s="25">
        <v>6</v>
      </c>
      <c r="AD8" s="25">
        <v>730</v>
      </c>
      <c r="AE8" s="25">
        <v>54</v>
      </c>
      <c r="AF8" s="25">
        <v>2</v>
      </c>
      <c r="AG8" s="25">
        <v>6</v>
      </c>
      <c r="AH8" s="25">
        <v>800</v>
      </c>
      <c r="AI8" s="25">
        <v>60</v>
      </c>
      <c r="AJ8" s="27">
        <v>58</v>
      </c>
      <c r="AK8" s="27">
        <v>5956</v>
      </c>
      <c r="AL8" s="25">
        <v>27764</v>
      </c>
      <c r="AM8" s="25">
        <v>8</v>
      </c>
      <c r="AN8" s="27">
        <v>0</v>
      </c>
      <c r="AO8" s="27">
        <v>0</v>
      </c>
      <c r="AP8" s="27">
        <v>0</v>
      </c>
      <c r="AQ8" s="27">
        <v>0</v>
      </c>
      <c r="AR8" s="27">
        <v>0</v>
      </c>
      <c r="AS8" s="27">
        <v>0</v>
      </c>
      <c r="AT8" s="27">
        <v>0</v>
      </c>
      <c r="AU8" s="27">
        <v>0</v>
      </c>
      <c r="AV8" s="25">
        <v>450</v>
      </c>
      <c r="AW8" s="25">
        <v>450</v>
      </c>
    </row>
    <row r="9" s="49" customFormat="1" spans="1:49">
      <c r="A9" s="25" t="s">
        <v>58</v>
      </c>
      <c r="B9" s="25">
        <v>53</v>
      </c>
      <c r="C9" s="25">
        <f t="shared" si="0"/>
        <v>6298</v>
      </c>
      <c r="D9" s="25">
        <v>288</v>
      </c>
      <c r="E9" s="25">
        <v>3864</v>
      </c>
      <c r="F9" s="25">
        <v>486</v>
      </c>
      <c r="G9" s="25">
        <v>529</v>
      </c>
      <c r="H9" s="25">
        <v>260</v>
      </c>
      <c r="I9" s="25">
        <v>871</v>
      </c>
      <c r="J9" s="25">
        <v>104</v>
      </c>
      <c r="K9" s="25">
        <v>58</v>
      </c>
      <c r="L9" s="25">
        <v>82900</v>
      </c>
      <c r="M9" s="54">
        <f t="shared" si="1"/>
        <v>53885</v>
      </c>
      <c r="N9" s="54">
        <f t="shared" si="2"/>
        <v>12435</v>
      </c>
      <c r="O9" s="55">
        <f t="shared" si="3"/>
        <v>16580</v>
      </c>
      <c r="P9" s="25">
        <v>457</v>
      </c>
      <c r="Q9" s="25">
        <v>351</v>
      </c>
      <c r="R9" s="25">
        <v>11</v>
      </c>
      <c r="S9" s="27">
        <v>213</v>
      </c>
      <c r="T9" s="25">
        <v>21</v>
      </c>
      <c r="U9" s="25">
        <v>2085</v>
      </c>
      <c r="V9" s="25">
        <v>1620</v>
      </c>
      <c r="W9" s="25">
        <v>11</v>
      </c>
      <c r="X9" s="25" t="s">
        <v>59</v>
      </c>
      <c r="Y9" s="25">
        <v>12</v>
      </c>
      <c r="Z9" s="25">
        <v>1490</v>
      </c>
      <c r="AA9" s="25">
        <v>1101</v>
      </c>
      <c r="AB9" s="25">
        <v>6</v>
      </c>
      <c r="AC9" s="25">
        <v>6</v>
      </c>
      <c r="AD9" s="25">
        <v>300</v>
      </c>
      <c r="AE9" s="25">
        <v>16</v>
      </c>
      <c r="AF9" s="25">
        <v>6</v>
      </c>
      <c r="AG9" s="25">
        <v>6</v>
      </c>
      <c r="AH9" s="25">
        <v>645</v>
      </c>
      <c r="AI9" s="25">
        <v>20</v>
      </c>
      <c r="AJ9" s="25">
        <v>12</v>
      </c>
      <c r="AK9" s="27">
        <v>770</v>
      </c>
      <c r="AL9" s="27">
        <v>770</v>
      </c>
      <c r="AM9" s="25">
        <v>12</v>
      </c>
      <c r="AN9" s="27">
        <v>0</v>
      </c>
      <c r="AO9" s="27">
        <v>0</v>
      </c>
      <c r="AP9" s="27">
        <v>0</v>
      </c>
      <c r="AQ9" s="25">
        <v>4</v>
      </c>
      <c r="AR9" s="25">
        <v>4</v>
      </c>
      <c r="AS9" s="25">
        <v>128</v>
      </c>
      <c r="AT9" s="25">
        <v>480</v>
      </c>
      <c r="AU9" s="27">
        <v>0</v>
      </c>
      <c r="AV9" s="27">
        <v>0</v>
      </c>
      <c r="AW9" s="27">
        <v>0</v>
      </c>
    </row>
    <row r="10" s="50" customFormat="1" ht="28" customHeight="1" spans="1:49">
      <c r="A10" s="25" t="s">
        <v>60</v>
      </c>
      <c r="B10" s="25">
        <v>16</v>
      </c>
      <c r="C10" s="25">
        <f t="shared" si="0"/>
        <v>1567</v>
      </c>
      <c r="D10" s="25">
        <v>39</v>
      </c>
      <c r="E10" s="25">
        <v>1032</v>
      </c>
      <c r="F10" s="25">
        <v>83</v>
      </c>
      <c r="G10" s="25">
        <v>63</v>
      </c>
      <c r="H10" s="25">
        <v>79</v>
      </c>
      <c r="I10" s="25">
        <v>271</v>
      </c>
      <c r="J10" s="25">
        <v>38</v>
      </c>
      <c r="K10" s="25">
        <v>5</v>
      </c>
      <c r="L10" s="25">
        <v>36785</v>
      </c>
      <c r="M10" s="54">
        <f t="shared" si="1"/>
        <v>23910.25</v>
      </c>
      <c r="N10" s="54">
        <f t="shared" si="2"/>
        <v>5517.75</v>
      </c>
      <c r="O10" s="55">
        <f t="shared" si="3"/>
        <v>7357</v>
      </c>
      <c r="P10" s="25">
        <v>145</v>
      </c>
      <c r="Q10" s="25">
        <v>141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</row>
    <row r="11" spans="1:49">
      <c r="A11" s="25" t="s">
        <v>61</v>
      </c>
      <c r="B11" s="25">
        <v>6</v>
      </c>
      <c r="C11" s="25">
        <v>1144</v>
      </c>
      <c r="D11" s="25" t="s">
        <v>62</v>
      </c>
      <c r="E11" s="25" t="s">
        <v>62</v>
      </c>
      <c r="F11" s="25" t="s">
        <v>62</v>
      </c>
      <c r="G11" s="25" t="s">
        <v>62</v>
      </c>
      <c r="H11" s="25" t="s">
        <v>62</v>
      </c>
      <c r="I11" s="25" t="s">
        <v>62</v>
      </c>
      <c r="J11" s="25" t="s">
        <v>62</v>
      </c>
      <c r="K11" s="25" t="s">
        <v>62</v>
      </c>
      <c r="L11" s="25">
        <v>19711</v>
      </c>
      <c r="M11" s="54">
        <f t="shared" si="1"/>
        <v>12812.15</v>
      </c>
      <c r="N11" s="54">
        <f t="shared" si="2"/>
        <v>2956.65</v>
      </c>
      <c r="O11" s="55">
        <f t="shared" si="3"/>
        <v>3942.2</v>
      </c>
      <c r="P11" s="25" t="s">
        <v>62</v>
      </c>
      <c r="Q11" s="25" t="s">
        <v>62</v>
      </c>
      <c r="R11" s="25" t="s">
        <v>62</v>
      </c>
      <c r="S11" s="25" t="s">
        <v>62</v>
      </c>
      <c r="T11" s="25" t="s">
        <v>62</v>
      </c>
      <c r="U11" s="25" t="s">
        <v>62</v>
      </c>
      <c r="V11" s="25" t="s">
        <v>62</v>
      </c>
      <c r="W11" s="25" t="s">
        <v>62</v>
      </c>
      <c r="X11" s="25" t="s">
        <v>62</v>
      </c>
      <c r="Y11" s="25" t="s">
        <v>62</v>
      </c>
      <c r="Z11" s="25" t="s">
        <v>62</v>
      </c>
      <c r="AA11" s="25" t="s">
        <v>62</v>
      </c>
      <c r="AB11" s="25" t="s">
        <v>62</v>
      </c>
      <c r="AC11" s="25" t="s">
        <v>62</v>
      </c>
      <c r="AD11" s="25" t="s">
        <v>62</v>
      </c>
      <c r="AE11" s="25" t="s">
        <v>62</v>
      </c>
      <c r="AF11" s="25" t="s">
        <v>62</v>
      </c>
      <c r="AG11" s="25" t="s">
        <v>62</v>
      </c>
      <c r="AH11" s="25" t="s">
        <v>62</v>
      </c>
      <c r="AI11" s="25" t="s">
        <v>62</v>
      </c>
      <c r="AJ11" s="25" t="s">
        <v>62</v>
      </c>
      <c r="AK11" s="25" t="s">
        <v>62</v>
      </c>
      <c r="AL11" s="25" t="s">
        <v>62</v>
      </c>
      <c r="AM11" s="25" t="s">
        <v>62</v>
      </c>
      <c r="AN11" s="25" t="s">
        <v>62</v>
      </c>
      <c r="AO11" s="25" t="s">
        <v>62</v>
      </c>
      <c r="AP11" s="25" t="s">
        <v>62</v>
      </c>
      <c r="AQ11" s="25" t="s">
        <v>62</v>
      </c>
      <c r="AR11" s="25" t="s">
        <v>62</v>
      </c>
      <c r="AS11" s="25" t="s">
        <v>62</v>
      </c>
      <c r="AT11" s="25" t="s">
        <v>62</v>
      </c>
      <c r="AU11" s="25" t="s">
        <v>62</v>
      </c>
      <c r="AV11" s="25" t="s">
        <v>62</v>
      </c>
      <c r="AW11" s="25" t="s">
        <v>62</v>
      </c>
    </row>
    <row r="12" spans="1:49">
      <c r="A12" s="24" t="s">
        <v>63</v>
      </c>
      <c r="B12" s="53">
        <f>SUM(B3:B11)</f>
        <v>441</v>
      </c>
      <c r="C12" s="53">
        <f t="shared" ref="C12:AW12" si="4">SUM(C3:C11)</f>
        <v>69258</v>
      </c>
      <c r="D12" s="53">
        <f t="shared" si="4"/>
        <v>2000</v>
      </c>
      <c r="E12" s="53">
        <f t="shared" si="4"/>
        <v>38457</v>
      </c>
      <c r="F12" s="53">
        <f t="shared" si="4"/>
        <v>9788</v>
      </c>
      <c r="G12" s="53">
        <f t="shared" si="4"/>
        <v>4007</v>
      </c>
      <c r="H12" s="53">
        <f t="shared" si="4"/>
        <v>1816</v>
      </c>
      <c r="I12" s="53">
        <f t="shared" si="4"/>
        <v>12046</v>
      </c>
      <c r="J12" s="53">
        <f t="shared" si="4"/>
        <v>221</v>
      </c>
      <c r="K12" s="53">
        <f t="shared" si="4"/>
        <v>135</v>
      </c>
      <c r="L12" s="53">
        <f t="shared" si="4"/>
        <v>965440</v>
      </c>
      <c r="M12" s="53">
        <f t="shared" si="4"/>
        <v>627536</v>
      </c>
      <c r="N12" s="53">
        <f t="shared" si="4"/>
        <v>144816</v>
      </c>
      <c r="O12" s="53">
        <f t="shared" si="4"/>
        <v>193088</v>
      </c>
      <c r="P12" s="53">
        <f t="shared" si="4"/>
        <v>2346</v>
      </c>
      <c r="Q12" s="53">
        <f t="shared" si="4"/>
        <v>1567</v>
      </c>
      <c r="R12" s="53">
        <f t="shared" si="4"/>
        <v>45</v>
      </c>
      <c r="S12" s="53">
        <f t="shared" si="4"/>
        <v>831</v>
      </c>
      <c r="T12" s="53">
        <f t="shared" si="4"/>
        <v>49</v>
      </c>
      <c r="U12" s="53">
        <f t="shared" si="4"/>
        <v>8052</v>
      </c>
      <c r="V12" s="53">
        <f t="shared" si="4"/>
        <v>25488</v>
      </c>
      <c r="W12" s="53">
        <f t="shared" si="4"/>
        <v>62</v>
      </c>
      <c r="X12" s="53">
        <f t="shared" si="4"/>
        <v>490</v>
      </c>
      <c r="Y12" s="53">
        <f t="shared" si="4"/>
        <v>49</v>
      </c>
      <c r="Z12" s="53">
        <f t="shared" si="4"/>
        <v>5659</v>
      </c>
      <c r="AA12" s="53">
        <f t="shared" si="4"/>
        <v>17777</v>
      </c>
      <c r="AB12" s="53">
        <f t="shared" si="4"/>
        <v>12</v>
      </c>
      <c r="AC12" s="53">
        <f t="shared" si="4"/>
        <v>12</v>
      </c>
      <c r="AD12" s="53">
        <f t="shared" si="4"/>
        <v>1030</v>
      </c>
      <c r="AE12" s="53">
        <f t="shared" si="4"/>
        <v>70</v>
      </c>
      <c r="AF12" s="53">
        <f t="shared" si="4"/>
        <v>30</v>
      </c>
      <c r="AG12" s="53">
        <f t="shared" si="4"/>
        <v>34</v>
      </c>
      <c r="AH12" s="53">
        <f t="shared" si="4"/>
        <v>2673</v>
      </c>
      <c r="AI12" s="53">
        <f t="shared" si="4"/>
        <v>166</v>
      </c>
      <c r="AJ12" s="53">
        <f t="shared" si="4"/>
        <v>94</v>
      </c>
      <c r="AK12" s="53">
        <f t="shared" si="4"/>
        <v>6966</v>
      </c>
      <c r="AL12" s="53">
        <f t="shared" si="4"/>
        <v>31114</v>
      </c>
      <c r="AM12" s="53">
        <f t="shared" si="4"/>
        <v>36</v>
      </c>
      <c r="AN12" s="53">
        <f t="shared" si="4"/>
        <v>216</v>
      </c>
      <c r="AO12" s="53">
        <f t="shared" si="4"/>
        <v>190</v>
      </c>
      <c r="AP12" s="53">
        <f t="shared" si="4"/>
        <v>150</v>
      </c>
      <c r="AQ12" s="53">
        <f t="shared" si="4"/>
        <v>20</v>
      </c>
      <c r="AR12" s="53">
        <f t="shared" si="4"/>
        <v>8</v>
      </c>
      <c r="AS12" s="53">
        <f t="shared" si="4"/>
        <v>224</v>
      </c>
      <c r="AT12" s="53">
        <f t="shared" si="4"/>
        <v>484</v>
      </c>
      <c r="AU12" s="53">
        <f t="shared" si="4"/>
        <v>490</v>
      </c>
      <c r="AV12" s="53">
        <f t="shared" si="4"/>
        <v>940</v>
      </c>
      <c r="AW12" s="53">
        <f t="shared" si="4"/>
        <v>940</v>
      </c>
    </row>
    <row r="15" spans="12:12">
      <c r="L15" s="56"/>
    </row>
  </sheetData>
  <mergeCells count="6">
    <mergeCell ref="B1:K1"/>
    <mergeCell ref="L1:Q1"/>
    <mergeCell ref="R1:V1"/>
    <mergeCell ref="W1:AK1"/>
    <mergeCell ref="AL1:AS1"/>
    <mergeCell ref="AT1:AW1"/>
  </mergeCells>
  <pageMargins left="0.7" right="0.7" top="0.75" bottom="0.75" header="0.3" footer="0.3"/>
  <headerFooter/>
  <ignoredErrors>
    <ignoredError sqref="C3:C10" formulaRange="1"/>
    <ignoredError sqref="P11:AW11 D11:L11" numberStoredAsText="1"/>
    <ignoredError sqref="M11:N11" numberStoredAsText="1" unlockedFormula="1"/>
    <ignoredError sqref="M3:O10 O1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6"/>
  <sheetViews>
    <sheetView workbookViewId="0">
      <selection activeCell="H5" sqref="H5"/>
    </sheetView>
  </sheetViews>
  <sheetFormatPr defaultColWidth="9" defaultRowHeight="14.4" outlineLevelRow="5"/>
  <sheetData>
    <row r="2" ht="15.6" spans="1:16">
      <c r="A2" s="44" t="s">
        <v>0</v>
      </c>
      <c r="B2" s="45"/>
      <c r="C2" s="20" t="s">
        <v>1</v>
      </c>
      <c r="D2" s="20"/>
      <c r="E2" s="20"/>
      <c r="F2" s="20"/>
      <c r="G2" s="20"/>
      <c r="H2" s="20"/>
      <c r="I2" s="20"/>
      <c r="J2" s="20"/>
      <c r="K2" s="20"/>
      <c r="L2" s="20"/>
      <c r="M2" s="20" t="s">
        <v>2</v>
      </c>
      <c r="N2" s="20"/>
      <c r="O2" s="20"/>
      <c r="P2" s="20"/>
    </row>
    <row r="3" ht="171.6" spans="1:16">
      <c r="A3" s="46" t="s">
        <v>64</v>
      </c>
      <c r="B3" s="47"/>
      <c r="C3" s="20" t="s">
        <v>8</v>
      </c>
      <c r="D3" s="20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0" t="s">
        <v>14</v>
      </c>
      <c r="J3" s="20" t="s">
        <v>15</v>
      </c>
      <c r="K3" s="20" t="s">
        <v>65</v>
      </c>
      <c r="L3" s="20" t="s">
        <v>66</v>
      </c>
      <c r="M3" s="17" t="s">
        <v>18</v>
      </c>
      <c r="N3" s="17" t="s">
        <v>19</v>
      </c>
      <c r="O3" s="17" t="s">
        <v>20</v>
      </c>
      <c r="P3" s="17" t="s">
        <v>21</v>
      </c>
    </row>
    <row r="4" ht="15.6" spans="1:16">
      <c r="A4" s="22" t="s">
        <v>67</v>
      </c>
      <c r="B4" s="22"/>
      <c r="C4" s="14">
        <v>12</v>
      </c>
      <c r="D4" s="14">
        <f>SUM(E4:I4)</f>
        <v>1858</v>
      </c>
      <c r="E4" s="14">
        <v>271</v>
      </c>
      <c r="F4" s="14">
        <v>932</v>
      </c>
      <c r="G4" s="14">
        <v>178</v>
      </c>
      <c r="H4" s="14">
        <v>321</v>
      </c>
      <c r="I4" s="14">
        <v>156</v>
      </c>
      <c r="J4" s="14">
        <v>53</v>
      </c>
      <c r="K4" s="14">
        <v>5</v>
      </c>
      <c r="L4" s="14">
        <v>2</v>
      </c>
      <c r="M4" s="14">
        <v>13430</v>
      </c>
      <c r="N4" s="14">
        <f>M4*65%</f>
        <v>8729.5</v>
      </c>
      <c r="O4" s="14">
        <f>M4*15%</f>
        <v>2014.5</v>
      </c>
      <c r="P4" s="14">
        <f>M4*20%</f>
        <v>2686</v>
      </c>
    </row>
    <row r="5" ht="15.6" spans="1:16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ht="15.6" spans="1:16">
      <c r="A6" s="24" t="s">
        <v>63</v>
      </c>
      <c r="B6" s="24"/>
      <c r="C6" s="15">
        <f>C4:P4</f>
        <v>12</v>
      </c>
      <c r="D6" s="15">
        <f>D4:Q4</f>
        <v>1858</v>
      </c>
      <c r="E6" s="15">
        <f>E4:R4</f>
        <v>271</v>
      </c>
      <c r="F6" s="15">
        <f>F4:S4</f>
        <v>932</v>
      </c>
      <c r="G6" s="15">
        <f>G4:U4</f>
        <v>178</v>
      </c>
      <c r="H6" s="15">
        <f>H4:V4</f>
        <v>321</v>
      </c>
      <c r="I6" s="15">
        <f>I4:W4</f>
        <v>156</v>
      </c>
      <c r="J6" s="15">
        <f>J4:X4</f>
        <v>53</v>
      </c>
      <c r="K6" s="15">
        <f>G4:T4</f>
        <v>5</v>
      </c>
      <c r="L6" s="15">
        <f>L4:Y4</f>
        <v>2</v>
      </c>
      <c r="M6" s="15">
        <f>M4:Z4</f>
        <v>13430</v>
      </c>
      <c r="N6" s="15">
        <f>N4:AA4</f>
        <v>8729.5</v>
      </c>
      <c r="O6" s="15">
        <f>O4:AB4</f>
        <v>2014.5</v>
      </c>
      <c r="P6" s="15">
        <f>P4:AC4</f>
        <v>2686</v>
      </c>
    </row>
  </sheetData>
  <mergeCells count="6">
    <mergeCell ref="A2:B2"/>
    <mergeCell ref="C2:L2"/>
    <mergeCell ref="M2:P2"/>
    <mergeCell ref="A3:B3"/>
    <mergeCell ref="A4:B4"/>
    <mergeCell ref="A6:B6"/>
  </mergeCells>
  <pageMargins left="0.7" right="0.7" top="0.75" bottom="0.75" header="0.3" footer="0.3"/>
  <headerFooter/>
  <ignoredErrors>
    <ignoredError sqref="D4 L6:M6 C6:J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workbookViewId="0">
      <selection activeCell="F5" sqref="F5"/>
    </sheetView>
  </sheetViews>
  <sheetFormatPr defaultColWidth="9" defaultRowHeight="14.4" outlineLevelRow="5"/>
  <cols>
    <col min="1" max="16384" width="8.72222222222222" style="4"/>
  </cols>
  <sheetData>
    <row r="1" ht="15.5" customHeight="1" spans="1:16">
      <c r="A1" s="38" t="s">
        <v>0</v>
      </c>
      <c r="B1" s="38"/>
      <c r="C1" s="20" t="s">
        <v>1</v>
      </c>
      <c r="D1" s="20"/>
      <c r="E1" s="20"/>
      <c r="F1" s="20"/>
      <c r="G1" s="20"/>
      <c r="H1" s="20"/>
      <c r="I1" s="20"/>
      <c r="J1" s="20"/>
      <c r="K1" s="20"/>
      <c r="L1" s="20"/>
      <c r="M1" s="20" t="s">
        <v>2</v>
      </c>
      <c r="N1" s="20"/>
      <c r="O1" s="20"/>
      <c r="P1" s="20"/>
    </row>
    <row r="2" ht="171.6" spans="1:16">
      <c r="A2" s="38" t="s">
        <v>68</v>
      </c>
      <c r="B2" s="38"/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0" t="s">
        <v>14</v>
      </c>
      <c r="J2" s="20" t="s">
        <v>15</v>
      </c>
      <c r="K2" s="20" t="s">
        <v>65</v>
      </c>
      <c r="L2" s="20" t="s">
        <v>66</v>
      </c>
      <c r="M2" s="17" t="s">
        <v>18</v>
      </c>
      <c r="N2" s="17" t="s">
        <v>19</v>
      </c>
      <c r="O2" s="17" t="s">
        <v>20</v>
      </c>
      <c r="P2" s="17" t="s">
        <v>21</v>
      </c>
    </row>
    <row r="3" ht="15.6" spans="1:16">
      <c r="A3" s="25" t="s">
        <v>53</v>
      </c>
      <c r="B3" s="42"/>
      <c r="C3" s="27">
        <v>18</v>
      </c>
      <c r="D3" s="27">
        <f>SUM(E3:I3)</f>
        <v>8057</v>
      </c>
      <c r="E3" s="27">
        <v>64</v>
      </c>
      <c r="F3" s="28">
        <v>2831</v>
      </c>
      <c r="G3" s="28">
        <v>3943</v>
      </c>
      <c r="H3" s="28">
        <v>1009</v>
      </c>
      <c r="I3" s="27">
        <v>210</v>
      </c>
      <c r="J3" s="22">
        <v>2333</v>
      </c>
      <c r="K3" s="28">
        <v>3</v>
      </c>
      <c r="L3" s="28">
        <v>2</v>
      </c>
      <c r="M3" s="27">
        <v>40932</v>
      </c>
      <c r="N3" s="27">
        <f>M3*65%</f>
        <v>26605.8</v>
      </c>
      <c r="O3" s="27">
        <f>M3*15%</f>
        <v>6139.8</v>
      </c>
      <c r="P3" s="27">
        <f>M3*20%</f>
        <v>8186.4</v>
      </c>
    </row>
    <row r="4" ht="15.6" spans="1:16">
      <c r="A4" s="25" t="s">
        <v>54</v>
      </c>
      <c r="B4" s="42"/>
      <c r="C4" s="27">
        <v>50</v>
      </c>
      <c r="D4" s="27">
        <f>SUM(E4:I4)</f>
        <v>8506</v>
      </c>
      <c r="E4" s="27">
        <v>91</v>
      </c>
      <c r="F4" s="28">
        <v>3210</v>
      </c>
      <c r="G4" s="28">
        <v>4021</v>
      </c>
      <c r="H4" s="28">
        <v>932</v>
      </c>
      <c r="I4" s="27">
        <v>252</v>
      </c>
      <c r="J4" s="22">
        <v>6210</v>
      </c>
      <c r="K4" s="28">
        <v>5</v>
      </c>
      <c r="L4" s="28">
        <v>4</v>
      </c>
      <c r="M4" s="27">
        <v>48932</v>
      </c>
      <c r="N4" s="27">
        <f>M4*65%</f>
        <v>31805.8</v>
      </c>
      <c r="O4" s="27">
        <f>M4*15%</f>
        <v>7339.8</v>
      </c>
      <c r="P4" s="27">
        <f>M4*20%</f>
        <v>9786.4</v>
      </c>
    </row>
    <row r="5" ht="15.6" spans="1:16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</row>
    <row r="6" ht="15.6" spans="1:16">
      <c r="A6" s="24" t="s">
        <v>63</v>
      </c>
      <c r="B6" s="24"/>
      <c r="C6" s="24">
        <f>SUM(C3:C4)</f>
        <v>68</v>
      </c>
      <c r="D6" s="24">
        <f t="shared" ref="D6:P6" si="0">SUM(D3:D4)</f>
        <v>16563</v>
      </c>
      <c r="E6" s="24">
        <f t="shared" si="0"/>
        <v>155</v>
      </c>
      <c r="F6" s="24">
        <f t="shared" si="0"/>
        <v>6041</v>
      </c>
      <c r="G6" s="24">
        <f t="shared" si="0"/>
        <v>7964</v>
      </c>
      <c r="H6" s="24">
        <f t="shared" si="0"/>
        <v>1941</v>
      </c>
      <c r="I6" s="24">
        <f t="shared" si="0"/>
        <v>462</v>
      </c>
      <c r="J6" s="24">
        <f t="shared" si="0"/>
        <v>8543</v>
      </c>
      <c r="K6" s="24">
        <f t="shared" si="0"/>
        <v>8</v>
      </c>
      <c r="L6" s="24">
        <f t="shared" si="0"/>
        <v>6</v>
      </c>
      <c r="M6" s="24">
        <f t="shared" si="0"/>
        <v>89864</v>
      </c>
      <c r="N6" s="24">
        <f t="shared" si="0"/>
        <v>58411.6</v>
      </c>
      <c r="O6" s="24">
        <f t="shared" si="0"/>
        <v>13479.6</v>
      </c>
      <c r="P6" s="24">
        <f t="shared" si="0"/>
        <v>17972.8</v>
      </c>
    </row>
  </sheetData>
  <mergeCells count="7">
    <mergeCell ref="A1:B1"/>
    <mergeCell ref="C1:L1"/>
    <mergeCell ref="M1:P1"/>
    <mergeCell ref="A2:B2"/>
    <mergeCell ref="A3:B3"/>
    <mergeCell ref="A4:B4"/>
    <mergeCell ref="A6:B6"/>
  </mergeCells>
  <pageMargins left="0.7" right="0.7" top="0.75" bottom="0.75" header="0.3" footer="0.3"/>
  <headerFooter/>
  <ignoredErrors>
    <ignoredError sqref="D3:D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zoomScale="78" zoomScaleNormal="78" workbookViewId="0">
      <selection activeCell="F5" sqref="F5"/>
    </sheetView>
  </sheetViews>
  <sheetFormatPr defaultColWidth="9" defaultRowHeight="14.4" outlineLevelRow="5"/>
  <sheetData>
    <row r="1" ht="15.5" customHeight="1" spans="1:18">
      <c r="A1" s="38" t="s">
        <v>0</v>
      </c>
      <c r="B1" s="38"/>
      <c r="C1" s="40" t="s">
        <v>1</v>
      </c>
      <c r="D1" s="40"/>
      <c r="E1" s="40"/>
      <c r="F1" s="40"/>
      <c r="G1" s="40"/>
      <c r="H1" s="40"/>
      <c r="I1" s="40"/>
      <c r="J1" s="40"/>
      <c r="K1" s="40"/>
      <c r="L1" s="40"/>
      <c r="M1" s="40" t="s">
        <v>2</v>
      </c>
      <c r="N1" s="40"/>
      <c r="O1" s="40"/>
      <c r="P1" s="40"/>
      <c r="Q1" s="40"/>
      <c r="R1" s="40"/>
    </row>
    <row r="2" ht="171.6" spans="1:18">
      <c r="A2" s="38" t="s">
        <v>69</v>
      </c>
      <c r="B2" s="38"/>
      <c r="C2" s="40" t="s">
        <v>8</v>
      </c>
      <c r="D2" s="40" t="s">
        <v>9</v>
      </c>
      <c r="E2" s="40" t="s">
        <v>10</v>
      </c>
      <c r="F2" s="40" t="s">
        <v>11</v>
      </c>
      <c r="G2" s="40" t="s">
        <v>12</v>
      </c>
      <c r="H2" s="40" t="s">
        <v>13</v>
      </c>
      <c r="I2" s="40" t="s">
        <v>14</v>
      </c>
      <c r="J2" s="40" t="s">
        <v>15</v>
      </c>
      <c r="K2" s="40" t="s">
        <v>65</v>
      </c>
      <c r="L2" s="40" t="s">
        <v>66</v>
      </c>
      <c r="M2" s="17" t="s">
        <v>18</v>
      </c>
      <c r="N2" s="17" t="s">
        <v>19</v>
      </c>
      <c r="O2" s="17" t="s">
        <v>20</v>
      </c>
      <c r="P2" s="17" t="s">
        <v>21</v>
      </c>
      <c r="Q2" s="40" t="s">
        <v>22</v>
      </c>
      <c r="R2" s="40" t="s">
        <v>23</v>
      </c>
    </row>
    <row r="3" ht="15.6" spans="1:18">
      <c r="A3" s="27" t="s">
        <v>52</v>
      </c>
      <c r="B3" s="26"/>
      <c r="C3" s="27">
        <v>6</v>
      </c>
      <c r="D3" s="27">
        <f>SUM(E3:J3)</f>
        <v>850</v>
      </c>
      <c r="E3" s="27">
        <v>23</v>
      </c>
      <c r="F3" s="28">
        <v>479</v>
      </c>
      <c r="G3" s="28">
        <v>128</v>
      </c>
      <c r="H3" s="28">
        <v>133</v>
      </c>
      <c r="I3" s="27">
        <v>24</v>
      </c>
      <c r="J3" s="22">
        <v>63</v>
      </c>
      <c r="K3" s="28">
        <v>4</v>
      </c>
      <c r="L3" s="28">
        <v>0</v>
      </c>
      <c r="M3" s="27">
        <v>296</v>
      </c>
      <c r="N3" s="27">
        <f>M3*65%</f>
        <v>192.4</v>
      </c>
      <c r="O3" s="27">
        <f>M3*15%</f>
        <v>44.4</v>
      </c>
      <c r="P3" s="27">
        <f>M3*20%</f>
        <v>59.2</v>
      </c>
      <c r="Q3" s="27">
        <v>7</v>
      </c>
      <c r="R3" s="27">
        <v>2</v>
      </c>
    </row>
    <row r="4" ht="15.6" spans="1:18">
      <c r="A4" s="27" t="s">
        <v>53</v>
      </c>
      <c r="B4" s="26"/>
      <c r="C4" s="27">
        <v>53</v>
      </c>
      <c r="D4" s="27">
        <f>SUM(E4:J4)</f>
        <v>22312</v>
      </c>
      <c r="E4" s="27">
        <v>298</v>
      </c>
      <c r="F4" s="28">
        <v>13470</v>
      </c>
      <c r="G4" s="28">
        <v>2210</v>
      </c>
      <c r="H4" s="28">
        <v>2302</v>
      </c>
      <c r="I4" s="27">
        <v>821</v>
      </c>
      <c r="J4" s="22">
        <v>3211</v>
      </c>
      <c r="K4" s="28">
        <v>4</v>
      </c>
      <c r="L4" s="28">
        <v>2</v>
      </c>
      <c r="M4" s="27">
        <v>15564</v>
      </c>
      <c r="N4" s="27">
        <f t="shared" ref="N4:N5" si="0">M4*65%</f>
        <v>10116.6</v>
      </c>
      <c r="O4" s="27">
        <f t="shared" ref="O4:O5" si="1">M4*15%</f>
        <v>2334.6</v>
      </c>
      <c r="P4" s="27">
        <f t="shared" ref="P4:P5" si="2">M4*20%</f>
        <v>3112.8</v>
      </c>
      <c r="Q4" s="27">
        <v>373</v>
      </c>
      <c r="R4" s="27">
        <v>183</v>
      </c>
    </row>
    <row r="5" ht="15.6" spans="1:18">
      <c r="A5" s="22" t="s">
        <v>54</v>
      </c>
      <c r="B5" s="22"/>
      <c r="C5" s="22">
        <v>50</v>
      </c>
      <c r="D5" s="27">
        <f>SUM(E5:J5)</f>
        <v>6074</v>
      </c>
      <c r="E5" s="22">
        <v>195</v>
      </c>
      <c r="F5" s="22">
        <v>3210</v>
      </c>
      <c r="G5" s="22">
        <v>1121</v>
      </c>
      <c r="H5" s="22">
        <v>189</v>
      </c>
      <c r="I5" s="22">
        <v>260</v>
      </c>
      <c r="J5" s="22">
        <v>1099</v>
      </c>
      <c r="K5" s="22">
        <v>5</v>
      </c>
      <c r="L5" s="22">
        <v>2</v>
      </c>
      <c r="M5" s="27">
        <v>21092</v>
      </c>
      <c r="N5" s="27">
        <f t="shared" si="0"/>
        <v>13709.8</v>
      </c>
      <c r="O5" s="27">
        <f t="shared" si="1"/>
        <v>3163.8</v>
      </c>
      <c r="P5" s="27">
        <f t="shared" si="2"/>
        <v>4218.4</v>
      </c>
      <c r="Q5" s="22">
        <v>381</v>
      </c>
      <c r="R5" s="22">
        <v>225</v>
      </c>
    </row>
    <row r="6" ht="15.6" spans="1:18">
      <c r="A6" s="24" t="s">
        <v>63</v>
      </c>
      <c r="B6" s="24"/>
      <c r="C6" s="41">
        <f>SUM(C3:C5)</f>
        <v>109</v>
      </c>
      <c r="D6" s="41">
        <f t="shared" ref="D6:R6" si="3">SUM(D3:D5)</f>
        <v>29236</v>
      </c>
      <c r="E6" s="41">
        <f t="shared" si="3"/>
        <v>516</v>
      </c>
      <c r="F6" s="41">
        <f t="shared" si="3"/>
        <v>17159</v>
      </c>
      <c r="G6" s="41">
        <f t="shared" si="3"/>
        <v>3459</v>
      </c>
      <c r="H6" s="41">
        <f t="shared" si="3"/>
        <v>2624</v>
      </c>
      <c r="I6" s="41">
        <f t="shared" si="3"/>
        <v>1105</v>
      </c>
      <c r="J6" s="41">
        <f t="shared" si="3"/>
        <v>4373</v>
      </c>
      <c r="K6" s="41">
        <f t="shared" si="3"/>
        <v>13</v>
      </c>
      <c r="L6" s="41">
        <f t="shared" si="3"/>
        <v>4</v>
      </c>
      <c r="M6" s="41">
        <f t="shared" si="3"/>
        <v>36952</v>
      </c>
      <c r="N6" s="41">
        <f t="shared" ref="N6" si="4">SUM(N3:N5)</f>
        <v>24018.8</v>
      </c>
      <c r="O6" s="41">
        <f t="shared" ref="O6" si="5">SUM(O3:O5)</f>
        <v>5542.8</v>
      </c>
      <c r="P6" s="41">
        <f t="shared" ref="P6" si="6">SUM(P3:P5)</f>
        <v>7390.4</v>
      </c>
      <c r="Q6" s="41">
        <f t="shared" si="3"/>
        <v>761</v>
      </c>
      <c r="R6" s="41">
        <f t="shared" si="3"/>
        <v>410</v>
      </c>
    </row>
  </sheetData>
  <mergeCells count="8">
    <mergeCell ref="A1:B1"/>
    <mergeCell ref="C1:L1"/>
    <mergeCell ref="M1:R1"/>
    <mergeCell ref="A2:B2"/>
    <mergeCell ref="A3:B3"/>
    <mergeCell ref="A4:B4"/>
    <mergeCell ref="A5:B5"/>
    <mergeCell ref="A6:B6"/>
  </mergeCells>
  <pageMargins left="0.7" right="0.7" top="0.75" bottom="0.75" header="0.3" footer="0.3"/>
  <headerFooter/>
  <ignoredErrors>
    <ignoredError sqref="D3:D5" formulaRange="1"/>
    <ignoredError sqref="C6:R6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6"/>
  <sheetViews>
    <sheetView workbookViewId="0">
      <selection activeCell="Q2" sqref="Q2"/>
    </sheetView>
  </sheetViews>
  <sheetFormatPr defaultColWidth="9" defaultRowHeight="15.6" outlineLevelRow="5"/>
  <cols>
    <col min="1" max="16384" width="8.72222222222222" style="39"/>
  </cols>
  <sheetData>
    <row r="2" spans="1:16">
      <c r="A2" s="19" t="s">
        <v>0</v>
      </c>
      <c r="B2" s="19"/>
      <c r="C2" s="20" t="s">
        <v>1</v>
      </c>
      <c r="D2" s="20"/>
      <c r="E2" s="20"/>
      <c r="F2" s="20"/>
      <c r="G2" s="20"/>
      <c r="H2" s="20"/>
      <c r="I2" s="20"/>
      <c r="J2" s="20"/>
      <c r="K2" s="20"/>
      <c r="L2" s="20"/>
      <c r="M2" s="20" t="s">
        <v>2</v>
      </c>
      <c r="N2" s="20"/>
      <c r="O2" s="20"/>
      <c r="P2" s="20"/>
    </row>
    <row r="3" ht="171.6" spans="1:16">
      <c r="A3" s="19" t="s">
        <v>70</v>
      </c>
      <c r="B3" s="19"/>
      <c r="C3" s="20" t="s">
        <v>8</v>
      </c>
      <c r="D3" s="20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0" t="s">
        <v>14</v>
      </c>
      <c r="J3" s="20" t="s">
        <v>15</v>
      </c>
      <c r="K3" s="20" t="s">
        <v>65</v>
      </c>
      <c r="L3" s="20" t="s">
        <v>66</v>
      </c>
      <c r="M3" s="17" t="s">
        <v>18</v>
      </c>
      <c r="N3" s="17" t="s">
        <v>19</v>
      </c>
      <c r="O3" s="17" t="s">
        <v>20</v>
      </c>
      <c r="P3" s="17" t="s">
        <v>21</v>
      </c>
    </row>
    <row r="4" spans="1:16">
      <c r="A4" s="25" t="s">
        <v>71</v>
      </c>
      <c r="B4" s="32"/>
      <c r="C4" s="27">
        <v>23</v>
      </c>
      <c r="D4" s="27">
        <f>SUM(E4:J4)</f>
        <v>2712</v>
      </c>
      <c r="E4" s="27">
        <v>104</v>
      </c>
      <c r="F4" s="28">
        <v>2121</v>
      </c>
      <c r="G4" s="28">
        <v>53</v>
      </c>
      <c r="H4" s="28">
        <v>26</v>
      </c>
      <c r="I4" s="27">
        <v>115</v>
      </c>
      <c r="J4" s="27">
        <v>293</v>
      </c>
      <c r="K4" s="28">
        <v>1</v>
      </c>
      <c r="L4" s="28">
        <v>1</v>
      </c>
      <c r="M4" s="27">
        <v>6360</v>
      </c>
      <c r="N4" s="27">
        <f>M4*65%</f>
        <v>4134</v>
      </c>
      <c r="O4" s="27">
        <f>M4*15%</f>
        <v>954</v>
      </c>
      <c r="P4" s="27">
        <f>M4*20%</f>
        <v>1272</v>
      </c>
    </row>
    <row r="5" spans="1:16">
      <c r="A5" s="25" t="s">
        <v>72</v>
      </c>
      <c r="B5" s="32"/>
      <c r="C5" s="27">
        <v>52</v>
      </c>
      <c r="D5" s="27">
        <f>SUM(E5:J5)</f>
        <v>4301</v>
      </c>
      <c r="E5" s="27">
        <v>120</v>
      </c>
      <c r="F5" s="28">
        <v>2913</v>
      </c>
      <c r="G5" s="28">
        <v>136</v>
      </c>
      <c r="H5" s="28">
        <v>145</v>
      </c>
      <c r="I5" s="27">
        <v>264</v>
      </c>
      <c r="J5" s="27">
        <v>723</v>
      </c>
      <c r="K5" s="28">
        <v>2</v>
      </c>
      <c r="L5" s="28">
        <v>2</v>
      </c>
      <c r="M5" s="27">
        <v>13044</v>
      </c>
      <c r="N5" s="27">
        <f>M5*65%</f>
        <v>8478.6</v>
      </c>
      <c r="O5" s="27">
        <f>M5*15%</f>
        <v>1956.6</v>
      </c>
      <c r="P5" s="27">
        <f>M5*20%</f>
        <v>2608.8</v>
      </c>
    </row>
    <row r="6" spans="1:16">
      <c r="A6" s="24" t="s">
        <v>63</v>
      </c>
      <c r="B6" s="24"/>
      <c r="C6" s="24">
        <f>SUM(C4:C5)</f>
        <v>75</v>
      </c>
      <c r="D6" s="24">
        <f t="shared" ref="D6:P6" si="0">SUM(D4:D5)</f>
        <v>7013</v>
      </c>
      <c r="E6" s="24">
        <f t="shared" si="0"/>
        <v>224</v>
      </c>
      <c r="F6" s="24">
        <f t="shared" si="0"/>
        <v>5034</v>
      </c>
      <c r="G6" s="24">
        <f t="shared" si="0"/>
        <v>189</v>
      </c>
      <c r="H6" s="24">
        <f t="shared" si="0"/>
        <v>171</v>
      </c>
      <c r="I6" s="24">
        <f t="shared" si="0"/>
        <v>379</v>
      </c>
      <c r="J6" s="24">
        <f t="shared" si="0"/>
        <v>1016</v>
      </c>
      <c r="K6" s="24">
        <f t="shared" si="0"/>
        <v>3</v>
      </c>
      <c r="L6" s="24">
        <f t="shared" si="0"/>
        <v>3</v>
      </c>
      <c r="M6" s="24">
        <f t="shared" si="0"/>
        <v>19404</v>
      </c>
      <c r="N6" s="24">
        <f t="shared" si="0"/>
        <v>12612.6</v>
      </c>
      <c r="O6" s="24">
        <f t="shared" si="0"/>
        <v>2910.6</v>
      </c>
      <c r="P6" s="24">
        <f t="shared" si="0"/>
        <v>3880.8</v>
      </c>
    </row>
  </sheetData>
  <mergeCells count="7">
    <mergeCell ref="A2:B2"/>
    <mergeCell ref="C2:L2"/>
    <mergeCell ref="M2:P2"/>
    <mergeCell ref="A3:B3"/>
    <mergeCell ref="A4:B4"/>
    <mergeCell ref="A5:B5"/>
    <mergeCell ref="A6:B6"/>
  </mergeCells>
  <pageMargins left="0.7" right="0.7" top="0.75" bottom="0.75" header="0.3" footer="0.3"/>
  <headerFooter/>
  <ignoredErrors>
    <ignoredError sqref="D4:D5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6"/>
  <sheetViews>
    <sheetView workbookViewId="0">
      <selection activeCell="D4" sqref="D4:D5"/>
    </sheetView>
  </sheetViews>
  <sheetFormatPr defaultColWidth="9" defaultRowHeight="14.4" outlineLevelRow="5"/>
  <sheetData>
    <row r="2" ht="15.5" customHeight="1" spans="1:16">
      <c r="A2" s="38" t="s">
        <v>0</v>
      </c>
      <c r="B2" s="38"/>
      <c r="C2" s="20" t="s">
        <v>1</v>
      </c>
      <c r="D2" s="20"/>
      <c r="E2" s="20"/>
      <c r="F2" s="20"/>
      <c r="G2" s="20"/>
      <c r="H2" s="20"/>
      <c r="I2" s="20"/>
      <c r="J2" s="20"/>
      <c r="K2" s="20"/>
      <c r="L2" s="20"/>
      <c r="M2" s="20" t="s">
        <v>2</v>
      </c>
      <c r="N2" s="20"/>
      <c r="O2" s="20"/>
      <c r="P2" s="20"/>
    </row>
    <row r="3" ht="171.6" spans="1:16">
      <c r="A3" s="38" t="s">
        <v>73</v>
      </c>
      <c r="B3" s="38"/>
      <c r="C3" s="20" t="s">
        <v>8</v>
      </c>
      <c r="D3" s="20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0" t="s">
        <v>14</v>
      </c>
      <c r="J3" s="20" t="s">
        <v>15</v>
      </c>
      <c r="K3" s="20" t="s">
        <v>65</v>
      </c>
      <c r="L3" s="20" t="s">
        <v>66</v>
      </c>
      <c r="M3" s="17" t="s">
        <v>18</v>
      </c>
      <c r="N3" s="17" t="s">
        <v>74</v>
      </c>
      <c r="O3" s="17" t="s">
        <v>20</v>
      </c>
      <c r="P3" s="17" t="s">
        <v>21</v>
      </c>
    </row>
    <row r="4" ht="15.6" spans="1:16">
      <c r="A4" s="25" t="s">
        <v>53</v>
      </c>
      <c r="B4" s="32"/>
      <c r="C4" s="27">
        <v>26</v>
      </c>
      <c r="D4" s="27">
        <f>SUM(E4:J4)</f>
        <v>3569</v>
      </c>
      <c r="E4" s="27">
        <v>95</v>
      </c>
      <c r="F4" s="28">
        <v>2919</v>
      </c>
      <c r="G4" s="28">
        <v>64</v>
      </c>
      <c r="H4" s="28">
        <v>72</v>
      </c>
      <c r="I4" s="27">
        <v>120</v>
      </c>
      <c r="J4" s="27">
        <v>299</v>
      </c>
      <c r="K4" s="28">
        <v>2</v>
      </c>
      <c r="L4" s="28">
        <v>1</v>
      </c>
      <c r="M4" s="27">
        <v>6552</v>
      </c>
      <c r="N4" s="27">
        <f>M4*65%</f>
        <v>4258.8</v>
      </c>
      <c r="O4" s="27">
        <f>M4*15%</f>
        <v>982.8</v>
      </c>
      <c r="P4" s="27">
        <f>M4*20%</f>
        <v>1310.4</v>
      </c>
    </row>
    <row r="5" ht="15.6" spans="1:16">
      <c r="A5" s="25" t="s">
        <v>54</v>
      </c>
      <c r="B5" s="32"/>
      <c r="C5" s="27">
        <v>52</v>
      </c>
      <c r="D5" s="27">
        <f>SUM(E5:J5)</f>
        <v>4519</v>
      </c>
      <c r="E5" s="27">
        <v>180</v>
      </c>
      <c r="F5" s="28">
        <v>3291</v>
      </c>
      <c r="G5" s="28">
        <v>153</v>
      </c>
      <c r="H5" s="28">
        <v>162</v>
      </c>
      <c r="I5" s="27">
        <v>260</v>
      </c>
      <c r="J5" s="27">
        <v>473</v>
      </c>
      <c r="K5" s="28">
        <v>5</v>
      </c>
      <c r="L5" s="28">
        <v>2</v>
      </c>
      <c r="M5" s="27">
        <v>14940</v>
      </c>
      <c r="N5" s="27">
        <f>M5*65%</f>
        <v>9711</v>
      </c>
      <c r="O5" s="27">
        <f>M5*15%</f>
        <v>2241</v>
      </c>
      <c r="P5" s="27">
        <f>M5*20%</f>
        <v>2988</v>
      </c>
    </row>
    <row r="6" ht="15.6" spans="1:16">
      <c r="A6" s="24" t="s">
        <v>63</v>
      </c>
      <c r="B6" s="24"/>
      <c r="C6" s="24">
        <f>SUM(C4:C5)</f>
        <v>78</v>
      </c>
      <c r="D6" s="24">
        <f t="shared" ref="D6:P6" si="0">SUM(D4:D5)</f>
        <v>8088</v>
      </c>
      <c r="E6" s="24">
        <f t="shared" si="0"/>
        <v>275</v>
      </c>
      <c r="F6" s="24">
        <f t="shared" si="0"/>
        <v>6210</v>
      </c>
      <c r="G6" s="24">
        <f t="shared" si="0"/>
        <v>217</v>
      </c>
      <c r="H6" s="24">
        <f t="shared" si="0"/>
        <v>234</v>
      </c>
      <c r="I6" s="24">
        <f t="shared" si="0"/>
        <v>380</v>
      </c>
      <c r="J6" s="24">
        <f t="shared" si="0"/>
        <v>772</v>
      </c>
      <c r="K6" s="24">
        <f t="shared" si="0"/>
        <v>7</v>
      </c>
      <c r="L6" s="24">
        <f t="shared" si="0"/>
        <v>3</v>
      </c>
      <c r="M6" s="24">
        <f t="shared" si="0"/>
        <v>21492</v>
      </c>
      <c r="N6" s="24">
        <f t="shared" si="0"/>
        <v>13969.8</v>
      </c>
      <c r="O6" s="24">
        <f t="shared" si="0"/>
        <v>3223.8</v>
      </c>
      <c r="P6" s="24">
        <f t="shared" si="0"/>
        <v>4298.4</v>
      </c>
    </row>
  </sheetData>
  <mergeCells count="7">
    <mergeCell ref="A2:B2"/>
    <mergeCell ref="C2:L2"/>
    <mergeCell ref="M2:P2"/>
    <mergeCell ref="A3:B3"/>
    <mergeCell ref="A4:B4"/>
    <mergeCell ref="A5:B5"/>
    <mergeCell ref="A6:B6"/>
  </mergeCells>
  <pageMargins left="0.7" right="0.7" top="0.75" bottom="0.75" header="0.3" footer="0.3"/>
  <headerFooter/>
  <ignoredErrors>
    <ignoredError sqref="D4:D5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5"/>
  <sheetViews>
    <sheetView zoomScale="112" zoomScaleNormal="112" workbookViewId="0">
      <selection activeCell="F3" sqref="F3"/>
    </sheetView>
  </sheetViews>
  <sheetFormatPr defaultColWidth="9" defaultRowHeight="14.4" outlineLevelRow="4"/>
  <cols>
    <col min="13" max="13" width="9.4537037037037" customWidth="1"/>
  </cols>
  <sheetData>
    <row r="2" ht="15.6" spans="1:16">
      <c r="A2" s="19" t="s">
        <v>0</v>
      </c>
      <c r="B2" s="19"/>
      <c r="C2" s="17" t="s">
        <v>1</v>
      </c>
      <c r="D2" s="17"/>
      <c r="E2" s="17"/>
      <c r="F2" s="17"/>
      <c r="G2" s="17"/>
      <c r="H2" s="17"/>
      <c r="I2" s="17"/>
      <c r="J2" s="17"/>
      <c r="K2" s="17"/>
      <c r="L2" s="17"/>
      <c r="M2" s="17" t="s">
        <v>2</v>
      </c>
      <c r="N2" s="17"/>
      <c r="O2" s="17"/>
      <c r="P2" s="17"/>
    </row>
    <row r="3" ht="171.6" spans="1:16">
      <c r="A3" s="19" t="s">
        <v>75</v>
      </c>
      <c r="B3" s="19"/>
      <c r="C3" s="17" t="s">
        <v>8</v>
      </c>
      <c r="D3" s="17" t="s">
        <v>9</v>
      </c>
      <c r="E3" s="17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17" t="s">
        <v>15</v>
      </c>
      <c r="K3" s="17" t="s">
        <v>65</v>
      </c>
      <c r="L3" s="17" t="s">
        <v>66</v>
      </c>
      <c r="M3" s="17" t="s">
        <v>18</v>
      </c>
      <c r="N3" s="17" t="s">
        <v>74</v>
      </c>
      <c r="O3" s="17" t="s">
        <v>20</v>
      </c>
      <c r="P3" s="17" t="s">
        <v>21</v>
      </c>
    </row>
    <row r="4" ht="15.6" spans="1:16">
      <c r="A4" s="25" t="s">
        <v>76</v>
      </c>
      <c r="B4" s="32"/>
      <c r="C4" s="27">
        <v>9</v>
      </c>
      <c r="D4" s="33">
        <v>3836</v>
      </c>
      <c r="E4" s="33">
        <v>528</v>
      </c>
      <c r="F4" s="33">
        <v>2234</v>
      </c>
      <c r="G4" s="33">
        <v>453</v>
      </c>
      <c r="H4" s="33">
        <v>369</v>
      </c>
      <c r="I4" s="27">
        <v>246</v>
      </c>
      <c r="J4" s="27">
        <v>923</v>
      </c>
      <c r="K4" s="33">
        <v>10</v>
      </c>
      <c r="L4" s="33">
        <v>2</v>
      </c>
      <c r="M4" s="27">
        <v>38032</v>
      </c>
      <c r="N4" s="27">
        <f>M4*65%</f>
        <v>24720.8</v>
      </c>
      <c r="O4" s="27">
        <f>M4*15%</f>
        <v>5704.8</v>
      </c>
      <c r="P4" s="27">
        <f>M4*20%</f>
        <v>7606.4</v>
      </c>
    </row>
    <row r="5" ht="15.6" spans="1:16">
      <c r="A5" s="34" t="s">
        <v>63</v>
      </c>
      <c r="B5" s="35"/>
      <c r="C5" s="36">
        <f>C4</f>
        <v>9</v>
      </c>
      <c r="D5" s="37">
        <f t="shared" ref="D5:P5" si="0">D4</f>
        <v>3836</v>
      </c>
      <c r="E5" s="37">
        <f t="shared" si="0"/>
        <v>528</v>
      </c>
      <c r="F5" s="37">
        <f t="shared" si="0"/>
        <v>2234</v>
      </c>
      <c r="G5" s="37">
        <f t="shared" si="0"/>
        <v>453</v>
      </c>
      <c r="H5" s="37">
        <f t="shared" si="0"/>
        <v>369</v>
      </c>
      <c r="I5" s="36">
        <f t="shared" si="0"/>
        <v>246</v>
      </c>
      <c r="J5" s="36">
        <f t="shared" si="0"/>
        <v>923</v>
      </c>
      <c r="K5" s="37">
        <f t="shared" si="0"/>
        <v>10</v>
      </c>
      <c r="L5" s="37">
        <f t="shared" si="0"/>
        <v>2</v>
      </c>
      <c r="M5" s="36">
        <f t="shared" si="0"/>
        <v>38032</v>
      </c>
      <c r="N5" s="36">
        <f t="shared" si="0"/>
        <v>24720.8</v>
      </c>
      <c r="O5" s="36">
        <f t="shared" si="0"/>
        <v>5704.8</v>
      </c>
      <c r="P5" s="36">
        <f t="shared" si="0"/>
        <v>7606.4</v>
      </c>
    </row>
  </sheetData>
  <mergeCells count="6">
    <mergeCell ref="A2:B2"/>
    <mergeCell ref="C2:L2"/>
    <mergeCell ref="M2:P2"/>
    <mergeCell ref="A3:B3"/>
    <mergeCell ref="A4:B4"/>
    <mergeCell ref="A5:B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W9"/>
  <sheetViews>
    <sheetView tabSelected="1" topLeftCell="B1" workbookViewId="0">
      <selection activeCell="W8" sqref="W8"/>
    </sheetView>
  </sheetViews>
  <sheetFormatPr defaultColWidth="9" defaultRowHeight="14.4"/>
  <cols>
    <col min="16" max="16" width="9.66666666666667"/>
    <col min="17" max="17" width="10.5555555555556"/>
  </cols>
  <sheetData>
    <row r="3" ht="15.6" spans="1:16">
      <c r="A3" s="19" t="s">
        <v>0</v>
      </c>
      <c r="B3" s="19"/>
      <c r="C3" s="20" t="s">
        <v>1</v>
      </c>
      <c r="D3" s="20"/>
      <c r="E3" s="20"/>
      <c r="F3" s="20"/>
      <c r="G3" s="20"/>
      <c r="H3" s="20"/>
      <c r="I3" s="20"/>
      <c r="J3" s="20"/>
      <c r="K3" s="20"/>
      <c r="L3" s="20"/>
      <c r="M3" s="20" t="s">
        <v>2</v>
      </c>
      <c r="N3" s="20"/>
      <c r="O3" s="20"/>
      <c r="P3" s="20"/>
    </row>
    <row r="4" ht="171.6" spans="1:17">
      <c r="A4" s="19" t="s">
        <v>77</v>
      </c>
      <c r="B4" s="19"/>
      <c r="C4" s="20" t="s">
        <v>8</v>
      </c>
      <c r="D4" s="20" t="s">
        <v>9</v>
      </c>
      <c r="E4" s="20" t="s">
        <v>10</v>
      </c>
      <c r="F4" s="17" t="s">
        <v>11</v>
      </c>
      <c r="G4" s="20" t="s">
        <v>12</v>
      </c>
      <c r="H4" s="20" t="s">
        <v>13</v>
      </c>
      <c r="I4" s="20" t="s">
        <v>14</v>
      </c>
      <c r="J4" s="20" t="s">
        <v>15</v>
      </c>
      <c r="K4" s="20" t="s">
        <v>65</v>
      </c>
      <c r="L4" s="20" t="s">
        <v>66</v>
      </c>
      <c r="M4" s="17" t="s">
        <v>18</v>
      </c>
      <c r="N4" s="17" t="s">
        <v>74</v>
      </c>
      <c r="O4" s="17" t="s">
        <v>20</v>
      </c>
      <c r="P4" s="17" t="s">
        <v>21</v>
      </c>
      <c r="Q4" s="17" t="s">
        <v>78</v>
      </c>
    </row>
    <row r="5" ht="15.6" spans="1:17">
      <c r="A5" s="25" t="s">
        <v>79</v>
      </c>
      <c r="B5" s="26"/>
      <c r="C5" s="27">
        <v>52</v>
      </c>
      <c r="D5" s="27">
        <f>SUM(E5:J5)</f>
        <v>7085</v>
      </c>
      <c r="E5" s="27">
        <v>112</v>
      </c>
      <c r="F5" s="27">
        <v>4329</v>
      </c>
      <c r="G5" s="28">
        <v>219</v>
      </c>
      <c r="H5" s="28">
        <v>230</v>
      </c>
      <c r="I5" s="27">
        <v>163</v>
      </c>
      <c r="J5" s="28">
        <v>2032</v>
      </c>
      <c r="K5" s="28">
        <v>4</v>
      </c>
      <c r="L5" s="28">
        <v>3</v>
      </c>
      <c r="M5" s="27">
        <v>49056</v>
      </c>
      <c r="N5" s="28">
        <f>M5*65%</f>
        <v>31886.4</v>
      </c>
      <c r="O5" s="28">
        <f>M5*15%</f>
        <v>7358.4</v>
      </c>
      <c r="P5" s="27">
        <f>M5*20%</f>
        <v>9811.2</v>
      </c>
      <c r="Q5" s="27" t="s">
        <v>80</v>
      </c>
    </row>
    <row r="6" ht="15.6" spans="1:17">
      <c r="A6" s="25" t="s">
        <v>81</v>
      </c>
      <c r="B6" s="26"/>
      <c r="C6" s="27">
        <v>52</v>
      </c>
      <c r="D6" s="27">
        <f t="shared" ref="D6:D8" si="0">SUM(E6:J6)</f>
        <v>8358</v>
      </c>
      <c r="E6" s="27">
        <v>108</v>
      </c>
      <c r="F6" s="27">
        <v>5433</v>
      </c>
      <c r="G6" s="28">
        <v>182</v>
      </c>
      <c r="H6" s="28">
        <v>191</v>
      </c>
      <c r="I6" s="27">
        <v>142</v>
      </c>
      <c r="J6" s="28">
        <v>2302</v>
      </c>
      <c r="K6" s="28">
        <v>4</v>
      </c>
      <c r="L6" s="28">
        <v>2</v>
      </c>
      <c r="M6" s="27">
        <v>435843</v>
      </c>
      <c r="N6" s="28">
        <f t="shared" ref="N6:N8" si="1">M6*65%</f>
        <v>283297.95</v>
      </c>
      <c r="O6" s="28">
        <f t="shared" ref="O6:O8" si="2">M6*15%</f>
        <v>65376.45</v>
      </c>
      <c r="P6" s="27">
        <f t="shared" ref="P6:P8" si="3">M6*20%</f>
        <v>87168.6</v>
      </c>
      <c r="Q6" s="27" t="s">
        <v>80</v>
      </c>
    </row>
    <row r="7" ht="15.6" spans="1:17">
      <c r="A7" s="25" t="s">
        <v>82</v>
      </c>
      <c r="B7" s="26"/>
      <c r="C7" s="27">
        <v>53</v>
      </c>
      <c r="D7" s="27">
        <f t="shared" si="0"/>
        <v>7393</v>
      </c>
      <c r="E7" s="27">
        <v>141</v>
      </c>
      <c r="F7" s="27">
        <v>5320</v>
      </c>
      <c r="G7" s="28">
        <v>293</v>
      </c>
      <c r="H7" s="28">
        <v>243</v>
      </c>
      <c r="I7" s="27">
        <v>193</v>
      </c>
      <c r="J7" s="28">
        <v>1203</v>
      </c>
      <c r="K7" s="28">
        <v>3</v>
      </c>
      <c r="L7" s="28">
        <v>3</v>
      </c>
      <c r="M7" s="27">
        <v>90237</v>
      </c>
      <c r="N7" s="28">
        <f t="shared" si="1"/>
        <v>58654.05</v>
      </c>
      <c r="O7" s="28">
        <f t="shared" si="2"/>
        <v>13535.55</v>
      </c>
      <c r="P7" s="27">
        <f t="shared" si="3"/>
        <v>18047.4</v>
      </c>
      <c r="Q7" s="27" t="s">
        <v>80</v>
      </c>
    </row>
    <row r="8" ht="15.6" spans="1:23">
      <c r="A8" s="22" t="s">
        <v>61</v>
      </c>
      <c r="B8" s="22"/>
      <c r="C8" s="27">
        <v>6</v>
      </c>
      <c r="D8" s="27">
        <f t="shared" si="0"/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20490</v>
      </c>
      <c r="N8" s="28">
        <f t="shared" si="1"/>
        <v>13318.5</v>
      </c>
      <c r="O8" s="28">
        <f t="shared" si="2"/>
        <v>3073.5</v>
      </c>
      <c r="P8" s="27">
        <f t="shared" si="3"/>
        <v>4098</v>
      </c>
      <c r="Q8" s="27" t="s">
        <v>80</v>
      </c>
      <c r="W8" t="s">
        <v>83</v>
      </c>
    </row>
    <row r="9" spans="1:17">
      <c r="A9" s="29" t="s">
        <v>63</v>
      </c>
      <c r="B9" s="30"/>
      <c r="C9" s="31">
        <f>SUM(C5:C8)</f>
        <v>163</v>
      </c>
      <c r="D9" s="31">
        <f>SUM(D5:D8)</f>
        <v>22836</v>
      </c>
      <c r="E9" s="31">
        <f t="shared" ref="E9:L9" si="4">SUM(E5:E8)</f>
        <v>361</v>
      </c>
      <c r="F9" s="31">
        <f t="shared" si="4"/>
        <v>15082</v>
      </c>
      <c r="G9" s="31">
        <f t="shared" si="4"/>
        <v>694</v>
      </c>
      <c r="H9" s="31">
        <f t="shared" si="4"/>
        <v>664</v>
      </c>
      <c r="I9" s="31">
        <f t="shared" si="4"/>
        <v>498</v>
      </c>
      <c r="J9" s="31">
        <f t="shared" si="4"/>
        <v>5537</v>
      </c>
      <c r="K9" s="31">
        <f t="shared" si="4"/>
        <v>11</v>
      </c>
      <c r="L9" s="31">
        <f t="shared" si="4"/>
        <v>8</v>
      </c>
      <c r="M9" s="31">
        <f t="shared" ref="M9:P9" si="5">SUM(M5:M8)</f>
        <v>595626</v>
      </c>
      <c r="N9" s="31">
        <f t="shared" si="5"/>
        <v>387156.9</v>
      </c>
      <c r="O9" s="31">
        <f t="shared" si="5"/>
        <v>89343.9</v>
      </c>
      <c r="P9" s="31">
        <f t="shared" si="5"/>
        <v>119125.2</v>
      </c>
      <c r="Q9" s="31">
        <v>4</v>
      </c>
    </row>
  </sheetData>
  <mergeCells count="9">
    <mergeCell ref="A3:B3"/>
    <mergeCell ref="C3:L3"/>
    <mergeCell ref="M3:P3"/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headerFooter/>
  <ignoredErrors>
    <ignoredError sqref="D5:D8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F2" sqref="F$1:F$1048576"/>
    </sheetView>
  </sheetViews>
  <sheetFormatPr defaultColWidth="9" defaultRowHeight="14.4" outlineLevelRow="4"/>
  <cols>
    <col min="1" max="1" width="16" customWidth="1"/>
  </cols>
  <sheetData>
    <row r="1" ht="15" customHeight="1" spans="1:15">
      <c r="A1" s="19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 t="s">
        <v>2</v>
      </c>
      <c r="M1" s="20"/>
      <c r="N1" s="20"/>
      <c r="O1" s="20"/>
    </row>
    <row r="2" ht="171.6" spans="1:15">
      <c r="A2" s="21" t="s">
        <v>84</v>
      </c>
      <c r="B2" s="20" t="s">
        <v>8</v>
      </c>
      <c r="C2" s="20" t="s">
        <v>9</v>
      </c>
      <c r="D2" s="20" t="s">
        <v>10</v>
      </c>
      <c r="E2" s="20" t="s">
        <v>11</v>
      </c>
      <c r="F2" s="20" t="s">
        <v>12</v>
      </c>
      <c r="G2" s="20" t="s">
        <v>13</v>
      </c>
      <c r="H2" s="20" t="s">
        <v>14</v>
      </c>
      <c r="I2" s="20" t="s">
        <v>15</v>
      </c>
      <c r="J2" s="20" t="s">
        <v>65</v>
      </c>
      <c r="K2" s="20" t="s">
        <v>66</v>
      </c>
      <c r="L2" s="17" t="s">
        <v>18</v>
      </c>
      <c r="M2" s="17" t="s">
        <v>74</v>
      </c>
      <c r="N2" s="17" t="s">
        <v>20</v>
      </c>
      <c r="O2" s="17" t="s">
        <v>21</v>
      </c>
    </row>
    <row r="3" ht="15.6" spans="1:15">
      <c r="A3" s="22" t="s">
        <v>60</v>
      </c>
      <c r="B3" s="22">
        <v>29</v>
      </c>
      <c r="C3" s="22">
        <v>1180</v>
      </c>
      <c r="D3" s="22">
        <v>59</v>
      </c>
      <c r="E3" s="22">
        <v>976</v>
      </c>
      <c r="F3" s="22">
        <v>0</v>
      </c>
      <c r="G3" s="22">
        <v>0</v>
      </c>
      <c r="H3" s="22">
        <v>145</v>
      </c>
      <c r="I3" s="22">
        <v>0</v>
      </c>
      <c r="J3" s="22">
        <v>0</v>
      </c>
      <c r="K3" s="22">
        <v>0</v>
      </c>
      <c r="L3" s="23">
        <v>25574</v>
      </c>
      <c r="M3" s="22">
        <f>L3*65%</f>
        <v>16623.1</v>
      </c>
      <c r="N3" s="22">
        <f>L3*15%</f>
        <v>3836.1</v>
      </c>
      <c r="O3" s="23">
        <f>L3*20%</f>
        <v>5114.8</v>
      </c>
    </row>
    <row r="4" ht="15.6" spans="1:15">
      <c r="A4" s="22" t="s">
        <v>61</v>
      </c>
      <c r="B4" s="22">
        <v>6</v>
      </c>
      <c r="C4" s="23">
        <v>731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3">
        <v>13318</v>
      </c>
      <c r="M4" s="22">
        <f>L4*65%</f>
        <v>8656.7</v>
      </c>
      <c r="N4" s="22">
        <f>L4*15%</f>
        <v>1997.7</v>
      </c>
      <c r="O4" s="23">
        <f>L4*20%</f>
        <v>2663.6</v>
      </c>
    </row>
    <row r="5" ht="15.6" spans="1:15">
      <c r="A5" s="24" t="s">
        <v>63</v>
      </c>
      <c r="B5" s="24">
        <f>SUM(B3:B4)</f>
        <v>35</v>
      </c>
      <c r="C5" s="24">
        <f t="shared" ref="C5:O5" si="0">SUM(C3:C4)</f>
        <v>1911</v>
      </c>
      <c r="D5" s="24">
        <f t="shared" si="0"/>
        <v>59</v>
      </c>
      <c r="E5" s="24">
        <f t="shared" si="0"/>
        <v>976</v>
      </c>
      <c r="F5" s="24">
        <f t="shared" si="0"/>
        <v>0</v>
      </c>
      <c r="G5" s="24">
        <f t="shared" si="0"/>
        <v>0</v>
      </c>
      <c r="H5" s="24">
        <f t="shared" si="0"/>
        <v>145</v>
      </c>
      <c r="I5" s="24">
        <f t="shared" si="0"/>
        <v>0</v>
      </c>
      <c r="J5" s="24">
        <f t="shared" si="0"/>
        <v>0</v>
      </c>
      <c r="K5" s="24">
        <f t="shared" si="0"/>
        <v>0</v>
      </c>
      <c r="L5" s="24">
        <f t="shared" si="0"/>
        <v>38892</v>
      </c>
      <c r="M5" s="24">
        <f t="shared" si="0"/>
        <v>25279.8</v>
      </c>
      <c r="N5" s="24">
        <f t="shared" si="0"/>
        <v>5833.8</v>
      </c>
      <c r="O5" s="24">
        <f t="shared" si="0"/>
        <v>7778.4</v>
      </c>
    </row>
  </sheetData>
  <mergeCells count="2">
    <mergeCell ref="B1:K1"/>
    <mergeCell ref="L1:O1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U2" sqref="U2"/>
    </sheetView>
  </sheetViews>
  <sheetFormatPr defaultColWidth="9" defaultRowHeight="14.4"/>
  <cols>
    <col min="3" max="12" width="8.81481481481481" customWidth="1"/>
    <col min="13" max="14" width="9.5462962962963" customWidth="1"/>
    <col min="15" max="15" width="8.81481481481481" customWidth="1"/>
    <col min="16" max="16" width="9.5462962962963" customWidth="1"/>
    <col min="17" max="17" width="10.5555555555556"/>
  </cols>
  <sheetData>
    <row r="1" ht="15.6" spans="1:20">
      <c r="A1" s="6" t="s">
        <v>0</v>
      </c>
      <c r="B1" s="6"/>
      <c r="C1" s="7" t="s">
        <v>1</v>
      </c>
      <c r="D1" s="7"/>
      <c r="E1" s="7"/>
      <c r="F1" s="7"/>
      <c r="G1" s="7"/>
      <c r="H1" s="7"/>
      <c r="I1" s="7"/>
      <c r="J1" s="7"/>
      <c r="K1" s="7"/>
      <c r="L1" s="7"/>
      <c r="M1" s="7" t="s">
        <v>2</v>
      </c>
      <c r="N1" s="7"/>
      <c r="O1" s="7"/>
      <c r="P1" s="7"/>
      <c r="Q1" s="7"/>
      <c r="R1" s="7"/>
      <c r="S1" s="7"/>
      <c r="T1" s="7"/>
    </row>
    <row r="2" ht="140.4" spans="1:17">
      <c r="A2" s="8" t="s">
        <v>85</v>
      </c>
      <c r="B2" s="8"/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65</v>
      </c>
      <c r="L2" s="7" t="s">
        <v>66</v>
      </c>
      <c r="M2" s="17" t="s">
        <v>18</v>
      </c>
      <c r="N2" s="17" t="s">
        <v>74</v>
      </c>
      <c r="O2" s="17" t="s">
        <v>20</v>
      </c>
      <c r="P2" s="17" t="s">
        <v>21</v>
      </c>
      <c r="Q2" s="17" t="s">
        <v>78</v>
      </c>
    </row>
    <row r="3" ht="15.6" spans="1:17">
      <c r="A3" s="9" t="s">
        <v>86</v>
      </c>
      <c r="B3" s="10"/>
      <c r="C3" s="11">
        <v>52</v>
      </c>
      <c r="D3" s="11">
        <f ca="1" t="shared" ref="D3:D8" si="0">SUM(E3:F3:G3:J3)</f>
        <v>3423</v>
      </c>
      <c r="E3" s="11">
        <v>180</v>
      </c>
      <c r="F3" s="11">
        <v>2103</v>
      </c>
      <c r="G3" s="11">
        <v>495</v>
      </c>
      <c r="H3" s="11">
        <v>202</v>
      </c>
      <c r="I3" s="12">
        <v>231</v>
      </c>
      <c r="J3" s="12">
        <v>212</v>
      </c>
      <c r="K3" s="11">
        <v>3</v>
      </c>
      <c r="L3" s="11">
        <v>4</v>
      </c>
      <c r="M3" s="12">
        <v>56328</v>
      </c>
      <c r="N3" s="12">
        <f>M3*65%</f>
        <v>36613.2</v>
      </c>
      <c r="O3" s="12">
        <f>M3*15%</f>
        <v>8449.2</v>
      </c>
      <c r="P3" s="12">
        <f>M3*20%</f>
        <v>11265.6</v>
      </c>
      <c r="Q3" s="12" t="s">
        <v>87</v>
      </c>
    </row>
    <row r="4" ht="15.6" spans="1:17">
      <c r="A4" s="9" t="s">
        <v>54</v>
      </c>
      <c r="B4" s="10"/>
      <c r="C4" s="11">
        <v>52</v>
      </c>
      <c r="D4" s="11">
        <f ca="1" t="shared" si="0"/>
        <v>3791</v>
      </c>
      <c r="E4" s="11">
        <v>180</v>
      </c>
      <c r="F4" s="11">
        <v>2430</v>
      </c>
      <c r="G4" s="11">
        <v>463</v>
      </c>
      <c r="H4" s="11">
        <v>241</v>
      </c>
      <c r="I4" s="12">
        <v>243</v>
      </c>
      <c r="J4" s="12">
        <v>234</v>
      </c>
      <c r="K4" s="11">
        <v>4</v>
      </c>
      <c r="L4" s="11">
        <v>3</v>
      </c>
      <c r="M4" s="12">
        <v>58832</v>
      </c>
      <c r="N4" s="12">
        <f t="shared" ref="N4:N10" si="1">M4*65%</f>
        <v>38240.8</v>
      </c>
      <c r="O4" s="12">
        <f t="shared" ref="O4:O10" si="2">M4*15%</f>
        <v>8824.8</v>
      </c>
      <c r="P4" s="12">
        <f t="shared" ref="P4:P10" si="3">M4*20%</f>
        <v>11766.4</v>
      </c>
      <c r="Q4" s="12" t="s">
        <v>87</v>
      </c>
    </row>
    <row r="5" ht="15.6" spans="1:17">
      <c r="A5" s="9" t="s">
        <v>55</v>
      </c>
      <c r="B5" s="10"/>
      <c r="C5" s="11">
        <v>52</v>
      </c>
      <c r="D5" s="11">
        <f ca="1" t="shared" si="0"/>
        <v>3538</v>
      </c>
      <c r="E5" s="11">
        <v>289</v>
      </c>
      <c r="F5" s="11">
        <v>2101</v>
      </c>
      <c r="G5" s="11">
        <v>442</v>
      </c>
      <c r="H5" s="11">
        <v>276</v>
      </c>
      <c r="I5" s="12">
        <v>221</v>
      </c>
      <c r="J5" s="12">
        <v>209</v>
      </c>
      <c r="K5" s="11">
        <v>5</v>
      </c>
      <c r="L5" s="11">
        <v>2</v>
      </c>
      <c r="M5" s="12">
        <v>59320</v>
      </c>
      <c r="N5" s="12">
        <f t="shared" si="1"/>
        <v>38558</v>
      </c>
      <c r="O5" s="12">
        <f t="shared" si="2"/>
        <v>8898</v>
      </c>
      <c r="P5" s="12">
        <f t="shared" si="3"/>
        <v>11864</v>
      </c>
      <c r="Q5" s="12" t="s">
        <v>87</v>
      </c>
    </row>
    <row r="6" ht="15.6" spans="1:17">
      <c r="A6" s="9" t="s">
        <v>56</v>
      </c>
      <c r="B6" s="10"/>
      <c r="C6" s="11">
        <v>52</v>
      </c>
      <c r="D6" s="11">
        <f ca="1" t="shared" si="0"/>
        <v>4404</v>
      </c>
      <c r="E6" s="11">
        <v>289</v>
      </c>
      <c r="F6" s="11">
        <v>2993</v>
      </c>
      <c r="G6" s="11">
        <v>413</v>
      </c>
      <c r="H6" s="11">
        <v>261</v>
      </c>
      <c r="I6" s="12">
        <v>209</v>
      </c>
      <c r="J6" s="12">
        <v>239</v>
      </c>
      <c r="K6" s="11">
        <v>9</v>
      </c>
      <c r="L6" s="11">
        <v>4</v>
      </c>
      <c r="M6" s="12">
        <v>58212</v>
      </c>
      <c r="N6" s="12">
        <f t="shared" si="1"/>
        <v>37837.8</v>
      </c>
      <c r="O6" s="12">
        <f t="shared" si="2"/>
        <v>8731.8</v>
      </c>
      <c r="P6" s="12">
        <f t="shared" si="3"/>
        <v>11642.4</v>
      </c>
      <c r="Q6" s="12" t="s">
        <v>87</v>
      </c>
    </row>
    <row r="7" ht="15.6" spans="1:17">
      <c r="A7" s="9" t="s">
        <v>57</v>
      </c>
      <c r="B7" s="9"/>
      <c r="C7" s="12">
        <v>52</v>
      </c>
      <c r="D7" s="11">
        <f ca="1" t="shared" si="0"/>
        <v>4341</v>
      </c>
      <c r="E7" s="12">
        <v>230</v>
      </c>
      <c r="F7" s="13">
        <v>2913</v>
      </c>
      <c r="G7" s="13">
        <v>389</v>
      </c>
      <c r="H7" s="13">
        <v>299</v>
      </c>
      <c r="I7" s="12">
        <v>221</v>
      </c>
      <c r="J7" s="14">
        <v>289</v>
      </c>
      <c r="K7" s="13">
        <v>9</v>
      </c>
      <c r="L7" s="13">
        <v>4</v>
      </c>
      <c r="M7" s="12">
        <v>60010</v>
      </c>
      <c r="N7" s="12">
        <f t="shared" si="1"/>
        <v>39006.5</v>
      </c>
      <c r="O7" s="12">
        <f t="shared" si="2"/>
        <v>9001.5</v>
      </c>
      <c r="P7" s="12">
        <f t="shared" si="3"/>
        <v>12002</v>
      </c>
      <c r="Q7" s="12" t="s">
        <v>87</v>
      </c>
    </row>
    <row r="8" ht="15.6" spans="1:17">
      <c r="A8" s="9" t="s">
        <v>58</v>
      </c>
      <c r="B8" s="9"/>
      <c r="C8" s="12">
        <v>52</v>
      </c>
      <c r="D8" s="11">
        <f ca="1" t="shared" si="0"/>
        <v>3567</v>
      </c>
      <c r="E8" s="12">
        <v>241</v>
      </c>
      <c r="F8" s="13">
        <v>2303</v>
      </c>
      <c r="G8" s="13">
        <v>294</v>
      </c>
      <c r="H8" s="13">
        <v>238</v>
      </c>
      <c r="I8" s="12">
        <v>260</v>
      </c>
      <c r="J8" s="14">
        <v>231</v>
      </c>
      <c r="K8" s="13">
        <v>8</v>
      </c>
      <c r="L8" s="13">
        <v>4</v>
      </c>
      <c r="M8" s="12">
        <v>51502</v>
      </c>
      <c r="N8" s="12">
        <f t="shared" si="1"/>
        <v>33476.3</v>
      </c>
      <c r="O8" s="12">
        <f t="shared" si="2"/>
        <v>7725.3</v>
      </c>
      <c r="P8" s="12">
        <f t="shared" si="3"/>
        <v>10300.4</v>
      </c>
      <c r="Q8" s="12" t="s">
        <v>87</v>
      </c>
    </row>
    <row r="9" ht="15.6" spans="1:17">
      <c r="A9" s="9" t="s">
        <v>60</v>
      </c>
      <c r="B9" s="10"/>
      <c r="C9" s="14">
        <v>51</v>
      </c>
      <c r="D9" s="14">
        <v>5215</v>
      </c>
      <c r="E9" s="14">
        <v>191</v>
      </c>
      <c r="F9" s="14">
        <v>3862</v>
      </c>
      <c r="G9" s="14">
        <v>291</v>
      </c>
      <c r="H9" s="14">
        <v>209</v>
      </c>
      <c r="I9" s="14">
        <v>346</v>
      </c>
      <c r="J9" s="14">
        <v>237</v>
      </c>
      <c r="K9" s="14">
        <v>9</v>
      </c>
      <c r="L9" s="14">
        <v>5</v>
      </c>
      <c r="M9" s="12">
        <v>151435</v>
      </c>
      <c r="N9" s="12">
        <f t="shared" si="1"/>
        <v>98432.75</v>
      </c>
      <c r="O9" s="12">
        <f t="shared" si="2"/>
        <v>22715.25</v>
      </c>
      <c r="P9" s="12">
        <f t="shared" si="3"/>
        <v>30287</v>
      </c>
      <c r="Q9" s="12" t="s">
        <v>87</v>
      </c>
    </row>
    <row r="10" ht="15.6" spans="1:17">
      <c r="A10" s="14" t="s">
        <v>61</v>
      </c>
      <c r="B10" s="14"/>
      <c r="C10" s="12">
        <v>6</v>
      </c>
      <c r="D10" s="12">
        <v>412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8481</v>
      </c>
      <c r="N10" s="12">
        <f t="shared" si="1"/>
        <v>5512.65</v>
      </c>
      <c r="O10" s="12">
        <f t="shared" si="2"/>
        <v>1272.15</v>
      </c>
      <c r="P10" s="12">
        <f t="shared" si="3"/>
        <v>1696.2</v>
      </c>
      <c r="Q10" s="12" t="s">
        <v>87</v>
      </c>
    </row>
    <row r="11" ht="15.6" spans="1:17">
      <c r="A11" s="15" t="s">
        <v>63</v>
      </c>
      <c r="B11" s="15"/>
      <c r="C11" s="16">
        <f>SUM(C3:C10)</f>
        <v>369</v>
      </c>
      <c r="D11" s="16">
        <f ca="1" t="shared" ref="D11:P11" si="4">SUM(D3:D10)</f>
        <v>28691</v>
      </c>
      <c r="E11" s="16">
        <f t="shared" si="4"/>
        <v>1600</v>
      </c>
      <c r="F11" s="16">
        <f t="shared" si="4"/>
        <v>18705</v>
      </c>
      <c r="G11" s="16">
        <f t="shared" si="4"/>
        <v>2787</v>
      </c>
      <c r="H11" s="16">
        <f t="shared" si="4"/>
        <v>1726</v>
      </c>
      <c r="I11" s="16">
        <f t="shared" si="4"/>
        <v>1731</v>
      </c>
      <c r="J11" s="16">
        <f t="shared" si="4"/>
        <v>1651</v>
      </c>
      <c r="K11" s="16">
        <f t="shared" si="4"/>
        <v>47</v>
      </c>
      <c r="L11" s="16">
        <f t="shared" si="4"/>
        <v>26</v>
      </c>
      <c r="M11" s="16">
        <f t="shared" si="4"/>
        <v>504120</v>
      </c>
      <c r="N11" s="16">
        <f t="shared" si="4"/>
        <v>327678</v>
      </c>
      <c r="O11" s="16">
        <f t="shared" si="4"/>
        <v>75618</v>
      </c>
      <c r="P11" s="16">
        <f t="shared" si="4"/>
        <v>100824</v>
      </c>
      <c r="Q11" s="18">
        <v>8</v>
      </c>
    </row>
  </sheetData>
  <mergeCells count="14">
    <mergeCell ref="A1:B1"/>
    <mergeCell ref="C1:L1"/>
    <mergeCell ref="M1:P1"/>
    <mergeCell ref="Q1:T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:A6"/>
    </sheetView>
  </sheetViews>
  <sheetFormatPr defaultColWidth="9" defaultRowHeight="14.4" outlineLevelCol="2"/>
  <cols>
    <col min="3" max="3" width="33.6296296296296" customWidth="1"/>
  </cols>
  <sheetData>
    <row r="1" spans="1:3">
      <c r="A1" s="1" t="s">
        <v>88</v>
      </c>
      <c r="B1" s="2" t="s">
        <v>89</v>
      </c>
      <c r="C1" s="2"/>
    </row>
    <row r="2" spans="1:3">
      <c r="A2" s="1"/>
      <c r="B2" s="2" t="s">
        <v>90</v>
      </c>
      <c r="C2" s="2" t="s">
        <v>91</v>
      </c>
    </row>
    <row r="3" spans="1:3">
      <c r="A3" s="1"/>
      <c r="B3" s="3">
        <v>150</v>
      </c>
      <c r="C3" s="3" t="s">
        <v>92</v>
      </c>
    </row>
    <row r="4" spans="1:3">
      <c r="A4" s="1"/>
      <c r="B4" s="2" t="s">
        <v>93</v>
      </c>
      <c r="C4" s="2"/>
    </row>
    <row r="5" spans="1:3">
      <c r="A5" s="1"/>
      <c r="B5" s="2" t="s">
        <v>90</v>
      </c>
      <c r="C5" s="2" t="s">
        <v>91</v>
      </c>
    </row>
    <row r="6" spans="1:3">
      <c r="A6" s="1"/>
      <c r="B6" s="3">
        <v>150</v>
      </c>
      <c r="C6" s="3">
        <v>3905</v>
      </c>
    </row>
    <row r="9" spans="1:3">
      <c r="A9" s="4"/>
      <c r="B9" s="5" t="s">
        <v>94</v>
      </c>
      <c r="C9" s="5"/>
    </row>
    <row r="10" spans="1:1">
      <c r="A10" s="4"/>
    </row>
    <row r="11" spans="1:1">
      <c r="A11" s="4"/>
    </row>
    <row r="12" spans="1:1">
      <c r="A12" s="4"/>
    </row>
  </sheetData>
  <mergeCells count="5">
    <mergeCell ref="B1:C1"/>
    <mergeCell ref="B4:C4"/>
    <mergeCell ref="B9:C9"/>
    <mergeCell ref="A1:A6"/>
    <mergeCell ref="A9:A12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Dadar</vt:lpstr>
      <vt:lpstr>Cuff Parade</vt:lpstr>
      <vt:lpstr>Chimbai Beach, Bandra</vt:lpstr>
      <vt:lpstr>Worli Fort, Worli</vt:lpstr>
      <vt:lpstr>Madh, Malad</vt:lpstr>
      <vt:lpstr>Erangal, Malad</vt:lpstr>
      <vt:lpstr>Gorai, Bhayander</vt:lpstr>
      <vt:lpstr>Prabhadevi Beach</vt:lpstr>
      <vt:lpstr>Silver Beach</vt:lpstr>
      <vt:lpstr>Juhu Koliwada, Juhu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Chavan</dc:creator>
  <cp:lastModifiedBy>Alisha Khan</cp:lastModifiedBy>
  <dcterms:created xsi:type="dcterms:W3CDTF">2025-08-12T09:02:00Z</dcterms:created>
  <cp:lastPrinted>2025-08-18T08:10:00Z</cp:lastPrinted>
  <dcterms:modified xsi:type="dcterms:W3CDTF">2025-09-12T14:07:21Z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7E0ED96CB572484A963C9D3995B8FFA3_12</vt:lpwstr>
  </property>
  <property fmtid="{D5CDD505-2E9C-101B-9397-08002B2CF9AE}" pid="3" name="KSOProductBuildVer">
    <vt:lpwstr>1033-12.2.0.22549</vt:lpwstr>
  </property>
</Properties>
</file>